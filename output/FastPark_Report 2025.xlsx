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/"/>
    </mc:Choice>
  </mc:AlternateContent>
  <xr:revisionPtr revIDLastSave="84" documentId="11_984D6DEF198874540B5FB6212ECD540AE079DB95" xr6:coauthVersionLast="47" xr6:coauthVersionMax="47" xr10:uidLastSave="{2A7B30AD-80CB-4BA3-9A3C-07737461A09E}"/>
  <bookViews>
    <workbookView xWindow="-110" yWindow="-110" windowWidth="19420" windowHeight="11500" firstSheet="2" activeTab="6" xr2:uid="{00000000-000D-0000-FFFF-FFFF00000000}"/>
  </bookViews>
  <sheets>
    <sheet name="Monthly Movements" sheetId="1" r:id="rId1"/>
    <sheet name="Summary" sheetId="2" r:id="rId2"/>
    <sheet name="Entry Exit Distribution" sheetId="3" r:id="rId3"/>
    <sheet name="Length of Stay" sheetId="4" r:id="rId4"/>
    <sheet name="Flight Info" sheetId="5" r:id="rId5"/>
    <sheet name="Transaction Growth" sheetId="6" r:id="rId6"/>
    <sheet name="Chart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3" l="1"/>
  <c r="E8" i="6"/>
  <c r="C15" i="1"/>
  <c r="B15" i="1"/>
  <c r="E5" i="5"/>
  <c r="E4" i="5"/>
  <c r="E3" i="5"/>
  <c r="N12" i="3"/>
  <c r="N11" i="3"/>
  <c r="N10" i="3"/>
  <c r="N9" i="3"/>
  <c r="N8" i="3"/>
  <c r="N7" i="3"/>
  <c r="N6" i="3"/>
  <c r="N5" i="3"/>
  <c r="N4" i="3"/>
  <c r="N3" i="3"/>
</calcChain>
</file>

<file path=xl/sharedStrings.xml><?xml version="1.0" encoding="utf-8"?>
<sst xmlns="http://schemas.openxmlformats.org/spreadsheetml/2006/main" count="192" uniqueCount="136">
  <si>
    <t>Month</t>
  </si>
  <si>
    <t>Entries</t>
  </si>
  <si>
    <t>Exits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</si>
  <si>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</si>
  <si>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</si>
  <si>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</si>
  <si>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</si>
  <si>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</si>
  <si>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</si>
  <si>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</si>
  <si>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</si>
  <si>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</si>
  <si>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</si>
  <si>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</si>
  <si>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</si>
  <si>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Metric</t>
  </si>
  <si>
    <t>Value</t>
  </si>
  <si>
    <t>Peak Type</t>
  </si>
  <si>
    <t>Date</t>
  </si>
  <si>
    <t>Total</t>
  </si>
  <si>
    <t>Total Transactions (Distinct Bookings)</t>
  </si>
  <si>
    <t>Total Entries</t>
  </si>
  <si>
    <t>Total Exits</t>
  </si>
  <si>
    <t>Entries Validation Passed</t>
  </si>
  <si>
    <t>Exits Validation Passed</t>
  </si>
  <si>
    <t>Average Kiosk Transaction Time (secs)</t>
  </si>
  <si>
    <t>Invalid Duration Count</t>
  </si>
  <si>
    <t>Total Transactions</t>
  </si>
  <si>
    <t>Peak Entries Day</t>
  </si>
  <si>
    <t>24 May 2025</t>
  </si>
  <si>
    <t>Peak Exits Day</t>
  </si>
  <si>
    <t>19 Oct 2025</t>
  </si>
  <si>
    <t>Peak Movements Day</t>
  </si>
  <si>
    <t>Average Entry Difference (HH:MM)</t>
  </si>
  <si>
    <t>00:54</t>
  </si>
  <si>
    <t>Median Entry Difference (HH:MM)</t>
  </si>
  <si>
    <t>00:14</t>
  </si>
  <si>
    <t>Average Exit Difference (HH:MM)</t>
  </si>
  <si>
    <t>02:14</t>
  </si>
  <si>
    <t>Median Exit Difference (HH:MM)</t>
  </si>
  <si>
    <t>00:45</t>
  </si>
  <si>
    <t>Entry Min (mins)</t>
  </si>
  <si>
    <t>Entry 25th Percentile (mins)</t>
  </si>
  <si>
    <t>Entry 75th Percentile (mins)</t>
  </si>
  <si>
    <t>Entry Max (mins)</t>
  </si>
  <si>
    <t>Exit Min (mins)</t>
  </si>
  <si>
    <t>Exit 25th Percentile (mins)</t>
  </si>
  <si>
    <t>Exit 75th Percentile (mins)</t>
  </si>
  <si>
    <t>Exit Max (mins)</t>
  </si>
  <si>
    <t>Bin Start</t>
  </si>
  <si>
    <t>Bin End</t>
  </si>
  <si>
    <t>Bin Midpoint</t>
  </si>
  <si>
    <t>Entry Count</t>
  </si>
  <si>
    <t>Exit Count</t>
  </si>
  <si>
    <t>Zero Line</t>
  </si>
  <si>
    <t>Avg Entry Line</t>
  </si>
  <si>
    <t>Median Entry Line</t>
  </si>
  <si>
    <t>Avg Exit Line</t>
  </si>
  <si>
    <t>Median Exit Line</t>
  </si>
  <si>
    <t>Minutes</t>
  </si>
  <si>
    <t>BookingReference</t>
  </si>
  <si>
    <t>Length of Stay Days</t>
  </si>
  <si>
    <t>Kind</t>
  </si>
  <si>
    <t>AXDGAJP5A</t>
  </si>
  <si>
    <t>Top 3</t>
  </si>
  <si>
    <t>7L55C4KZ2</t>
  </si>
  <si>
    <t>7JSM1BMF6</t>
  </si>
  <si>
    <t>ZKPSPF9</t>
  </si>
  <si>
    <t>Bottom 3</t>
  </si>
  <si>
    <t>QXLSGMD</t>
  </si>
  <si>
    <t>8ZM6VHT</t>
  </si>
  <si>
    <t>Average LOS</t>
  </si>
  <si>
    <t>Average</t>
  </si>
  <si>
    <t>1</t>
  </si>
  <si>
    <t>Bins</t>
  </si>
  <si>
    <t>2</t>
  </si>
  <si>
    <t>3-6</t>
  </si>
  <si>
    <t>7-9</t>
  </si>
  <si>
    <t>10-13</t>
  </si>
  <si>
    <t>14-20</t>
  </si>
  <si>
    <t>21-29</t>
  </si>
  <si>
    <t>30-59</t>
  </si>
  <si>
    <t>60-89</t>
  </si>
  <si>
    <t>Category</t>
  </si>
  <si>
    <t>Name</t>
  </si>
  <si>
    <t>Count</t>
  </si>
  <si>
    <t>Percent</t>
  </si>
  <si>
    <t>Airline</t>
  </si>
  <si>
    <t>JET2</t>
  </si>
  <si>
    <t>RYANAIR</t>
  </si>
  <si>
    <t>EASYJET</t>
  </si>
  <si>
    <t>BRITISH AIRWAYS</t>
  </si>
  <si>
    <t>RYANAIR UK</t>
  </si>
  <si>
    <t>QATAR AIRWAYS</t>
  </si>
  <si>
    <t>EMIRATES</t>
  </si>
  <si>
    <t>KLM</t>
  </si>
  <si>
    <t>SUNEXPRESS</t>
  </si>
  <si>
    <t>UNITED AIRLINES</t>
  </si>
  <si>
    <t>LUFTHANSA</t>
  </si>
  <si>
    <t>LOGANAIR</t>
  </si>
  <si>
    <t>AIR FRANCE</t>
  </si>
  <si>
    <t>TURKISH AIRLINES</t>
  </si>
  <si>
    <t>DELTA AIR LINES</t>
  </si>
  <si>
    <t>AER LINGUS</t>
  </si>
  <si>
    <t>VIRGIN ATLANTIC AIRWAYS</t>
  </si>
  <si>
    <t>NORWEGIAN AIR SWEDEN</t>
  </si>
  <si>
    <t>AIR CANADA</t>
  </si>
  <si>
    <t>WESTJET</t>
  </si>
  <si>
    <t>JETBLUE AIRWAYS</t>
  </si>
  <si>
    <t>FINNAIR</t>
  </si>
  <si>
    <t>EUROWINGS</t>
  </si>
  <si>
    <t>PEGASUS AIRLINES</t>
  </si>
  <si>
    <t>EDELWEISS AIR</t>
  </si>
  <si>
    <t>AEGEAN AIRLINES</t>
  </si>
  <si>
    <t>SAS</t>
  </si>
  <si>
    <t>TUI AIRWAYS</t>
  </si>
  <si>
    <t>VUELING AIRLINES</t>
  </si>
  <si>
    <t>BRUSSELS AIRLINES</t>
  </si>
  <si>
    <t>TRANSAVIA FRANCE</t>
  </si>
  <si>
    <t>AMERICAN AIRLINES</t>
  </si>
  <si>
    <t>HAINAN AIRLINES</t>
  </si>
  <si>
    <t>AIREST CARGO</t>
  </si>
  <si>
    <t>ATLANTIC AIRWAYS</t>
  </si>
  <si>
    <t>ICELANDAIR</t>
  </si>
  <si>
    <t>AURIGNY AIR SERVICES</t>
  </si>
  <si>
    <t>AUSTRIAN AIRLINES</t>
  </si>
  <si>
    <t>NORWEGIAN AIR INTERNATIONAL</t>
  </si>
  <si>
    <t>LUFTHANSA CITY AIRLINES</t>
  </si>
  <si>
    <t>NORWEGIAN</t>
  </si>
  <si>
    <t>Sector</t>
  </si>
  <si>
    <t>International</t>
  </si>
  <si>
    <t>Domestic</t>
  </si>
  <si>
    <t>CTA</t>
  </si>
  <si>
    <t>Period</t>
  </si>
  <si>
    <t>Absolute Change</t>
  </si>
  <si>
    <t>Percent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</si>
</sst>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,&quot;k&quot;"/>
  </numFmts>
  <fonts count="21" x14ac:knownFonts="1">
    <font>
      <sz val="11"/>
      <color theme="1"/>
      <name val="Calibri"/>
      <family val="2"/>
      <scheme val="minor"/>
    </font>
    <font>
      <b/>
      <sz val="24"/>
      <color rgb="FFFC8896"/>
      <name val="Calibri"/>
      <family val="2"/>
      <scheme val="minor"/>
    </font>
    <font>
      <b/>
      <sz val="24"/>
      <color rgb="FFFFCBB1"/>
      <name val="Calibri"/>
      <family val="2"/>
      <scheme val="minor"/>
    </font>
    <font>
      <sz val="14"/>
      <color rgb="FFFFD893"/>
      <name val="Calibri"/>
      <family val="2"/>
      <scheme val="minor"/>
    </font>
    <font>
      <b/>
      <sz val="24"/>
      <color rgb="FFFFD893"/>
      <name val="Calibri"/>
      <family val="2"/>
      <scheme val="minor"/>
    </font>
    <font>
      <sz val="14"/>
      <color rgb="FFA7A3BC"/>
      <name val="Calibri"/>
      <family val="2"/>
      <scheme val="minor"/>
    </font>
    <font>
      <b/>
      <sz val="24"/>
      <color rgb="FFA7A3BC"/>
      <name val="Calibri"/>
      <family val="2"/>
      <scheme val="minor"/>
    </font>
    <font>
      <sz val="14"/>
      <color rgb="FFFEAFB5"/>
      <name val="Calibri"/>
      <family val="2"/>
      <scheme val="minor"/>
    </font>
    <font>
      <b/>
      <sz val="24"/>
      <color rgb="FFFEAFB5"/>
      <name val="Calibri"/>
      <family val="2"/>
      <scheme val="minor"/>
    </font>
    <font>
      <b/>
      <sz val="24"/>
      <color rgb="FFD2B0C8"/>
      <name val="Calibri"/>
      <family val="2"/>
      <scheme val="minor"/>
    </font>
    <font>
      <b/>
      <sz val="24"/>
      <color rgb="FFC1C1FF"/>
      <name val="Calibri"/>
      <family val="2"/>
      <scheme val="minor"/>
    </font>
    <font>
      <b/>
      <sz val="16"/>
      <color theme="0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4"/>
      <color theme="6" tint="0.79998168889431442"/>
      <name val="Calibri"/>
      <family val="2"/>
      <scheme val="minor"/>
    </font>
    <font>
      <sz val="11"/>
      <color theme="6" tint="0.59999389629810485"/>
      <name val="Calibri"/>
      <family val="2"/>
      <scheme val="minor"/>
    </font>
    <font>
      <b/>
      <sz val="20"/>
      <color rgb="FFD2B0C8"/>
      <name val="Calibri"/>
      <family val="2"/>
      <scheme val="minor"/>
    </font>
    <font>
      <b/>
      <sz val="20"/>
      <color rgb="FFC1C1FF"/>
      <name val="Calibri"/>
      <family val="2"/>
      <scheme val="minor"/>
    </font>
    <font>
      <b/>
      <sz val="20"/>
      <color theme="6" tint="0.59999389629810485"/>
      <name val="Calibri"/>
      <family val="2"/>
      <scheme val="minor"/>
    </font>
    <font>
      <b/>
      <sz val="18"/>
      <color theme="0" tint="-0.249977111117893"/>
      <name val="Calibri"/>
      <family val="2"/>
      <scheme val="minor"/>
    </font>
    <font>
      <i/>
      <sz val="12"/>
      <color theme="0" tint="-4.9989318521683403E-2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ck">
        <color rgb="FFCE007F"/>
      </top>
      <bottom style="thick">
        <color rgb="FFCE007F"/>
      </bottom>
      <diagonal/>
    </border>
    <border>
      <left/>
      <right/>
      <top/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6" tint="0.79998168889431442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" fontId="9" fillId="0" borderId="0" xfId="0" applyNumberFormat="1" applyFont="1"/>
    <xf numFmtId="164" fontId="0" fillId="0" borderId="0" xfId="0" applyNumberFormat="1"/>
    <xf numFmtId="164" fontId="11" fillId="0" borderId="0" xfId="0" applyNumberFormat="1" applyFont="1"/>
    <xf numFmtId="0" fontId="12" fillId="0" borderId="1" xfId="0" applyFont="1" applyBorder="1" applyAlignment="1">
      <alignment horizontal="center" vertical="center"/>
    </xf>
    <xf numFmtId="0" fontId="13" fillId="0" borderId="2" xfId="0" applyFont="1" applyBorder="1"/>
    <xf numFmtId="0" fontId="13" fillId="0" borderId="0" xfId="0" applyFont="1"/>
    <xf numFmtId="0" fontId="13" fillId="0" borderId="3" xfId="0" applyFont="1" applyBorder="1"/>
    <xf numFmtId="0" fontId="14" fillId="0" borderId="2" xfId="0" applyFont="1" applyBorder="1"/>
    <xf numFmtId="0" fontId="14" fillId="0" borderId="3" xfId="0" applyFont="1" applyBorder="1"/>
    <xf numFmtId="0" fontId="14" fillId="0" borderId="4" xfId="0" applyFont="1" applyBorder="1"/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/>
    <xf numFmtId="164" fontId="17" fillId="0" borderId="0" xfId="0" applyNumberFormat="1" applyFont="1"/>
    <xf numFmtId="164" fontId="18" fillId="0" borderId="0" xfId="0" applyNumberFormat="1" applyFont="1"/>
    <xf numFmtId="0" fontId="19" fillId="0" borderId="0" xfId="0" applyFont="1"/>
    <xf numFmtId="0" fontId="0" fillId="0" borderId="0" xfId="0" quotePrefix="1"/>
    <xf numFmtId="0" fontId="20" fillId="0" borderId="0" xfId="0" quotePrefix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2B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E0C6E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'Length of Stay'!$A$10:$A$18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3-6</c:v>
                </c:pt>
                <c:pt idx="3">
                  <c:v>7-9</c:v>
                </c:pt>
                <c:pt idx="4">
                  <c:v>10-13</c:v>
                </c:pt>
                <c:pt idx="5">
                  <c:v>14-20</c:v>
                </c:pt>
                <c:pt idx="6">
                  <c:v>21-29</c:v>
                </c:pt>
                <c:pt idx="7">
                  <c:v>30-59</c:v>
                </c:pt>
                <c:pt idx="8">
                  <c:v>60-89</c:v>
                </c:pt>
              </c:strCache>
            </c:strRef>
          </c:cat>
          <c:val>
            <c:numRef>
              <c:f>'Length of Stay'!$B$10:$B$18</c:f>
              <c:numCache>
                <c:formatCode>General</c:formatCode>
                <c:ptCount val="9"/>
                <c:pt idx="0">
                  <c:v>2011</c:v>
                </c:pt>
                <c:pt idx="1">
                  <c:v>5073</c:v>
                </c:pt>
                <c:pt idx="2">
                  <c:v>51369</c:v>
                </c:pt>
                <c:pt idx="3">
                  <c:v>67697</c:v>
                </c:pt>
                <c:pt idx="4">
                  <c:v>20818</c:v>
                </c:pt>
                <c:pt idx="5">
                  <c:v>13685</c:v>
                </c:pt>
                <c:pt idx="6">
                  <c:v>2116</c:v>
                </c:pt>
                <c:pt idx="7">
                  <c:v>445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5-487F-BD04-DD58B6CAB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"/>
        <c:axId val="761034800"/>
        <c:axId val="761031440"/>
      </c:barChart>
      <c:catAx>
        <c:axId val="76103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baseline="0">
                <a:solidFill>
                  <a:srgbClr val="22A3B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31440"/>
        <c:crosses val="autoZero"/>
        <c:auto val="1"/>
        <c:lblAlgn val="ctr"/>
        <c:lblOffset val="100"/>
        <c:noMultiLvlLbl val="0"/>
      </c:catAx>
      <c:valAx>
        <c:axId val="7610314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1034800"/>
        <c:crosses val="autoZero"/>
        <c:crossBetween val="between"/>
      </c:valAx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ln>
              <a:noFill/>
              <a:prstDash val="solid"/>
            </a:ln>
          </c:spPr>
          <c:dPt>
            <c:idx val="0"/>
            <c:bubble3D val="0"/>
            <c:spPr>
              <a:solidFill>
                <a:srgbClr val="22A3B5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E6D-458A-A72D-5B03CFDB5090}"/>
              </c:ext>
            </c:extLst>
          </c:dPt>
          <c:dPt>
            <c:idx val="1"/>
            <c:bubble3D val="0"/>
            <c:spPr>
              <a:solidFill>
                <a:srgbClr val="CE007F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E6D-458A-A72D-5B03CFDB5090}"/>
              </c:ext>
            </c:extLst>
          </c:dPt>
          <c:dPt>
            <c:idx val="2"/>
            <c:bubble3D val="0"/>
            <c:spPr>
              <a:solidFill>
                <a:srgbClr val="7E0C6E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E6D-458A-A72D-5B03CFDB509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'Flight Info'!$B$44:$B$46</c:f>
              <c:strCache>
                <c:ptCount val="3"/>
                <c:pt idx="0">
                  <c:v>International</c:v>
                </c:pt>
                <c:pt idx="1">
                  <c:v>Domestic</c:v>
                </c:pt>
                <c:pt idx="2">
                  <c:v>CTA</c:v>
                </c:pt>
              </c:strCache>
            </c:strRef>
          </c:cat>
          <c:val>
            <c:numRef>
              <c:f>'Flight Info'!$C$44:$C$46</c:f>
              <c:numCache>
                <c:formatCode>General</c:formatCode>
                <c:ptCount val="3"/>
                <c:pt idx="0">
                  <c:v>118050</c:v>
                </c:pt>
                <c:pt idx="1">
                  <c:v>14509</c:v>
                </c:pt>
                <c:pt idx="2">
                  <c:v>2680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6D-458A-A72D-5B03CFDB5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'Entry Exit Distribution'!$D$2</c:f>
              <c:strCache>
                <c:ptCount val="1"/>
                <c:pt idx="0">
                  <c:v>Entry Count</c:v>
                </c:pt>
              </c:strCache>
            </c:strRef>
          </c:tx>
          <c:spPr>
            <a:solidFill>
              <a:srgbClr val="CE007F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'Entry Exit Distribution'!$N$3:$N$13</c:f>
              <c:strCache>
                <c:ptCount val="10"/>
                <c:pt idx="0">
                  <c:v>-180</c:v>
                </c:pt>
                <c:pt idx="1">
                  <c:v>-120 to -180</c:v>
                </c:pt>
                <c:pt idx="2">
                  <c:v>-60 to -120</c:v>
                </c:pt>
                <c:pt idx="3">
                  <c:v>-30 to -60</c:v>
                </c:pt>
                <c:pt idx="4">
                  <c:v>0 to -30</c:v>
                </c:pt>
                <c:pt idx="5">
                  <c:v>0 to 30</c:v>
                </c:pt>
                <c:pt idx="6">
                  <c:v>30 to 60</c:v>
                </c:pt>
                <c:pt idx="7">
                  <c:v>60 to 120</c:v>
                </c:pt>
                <c:pt idx="8">
                  <c:v>120 to 180</c:v>
                </c:pt>
                <c:pt idx="9">
                  <c:v>180+</c:v>
                </c:pt>
              </c:strCache>
            </c:strRef>
          </c:cat>
          <c:val>
            <c:numRef>
              <c:f>'Entry Exit Distribution'!$D$3:$D$12</c:f>
              <c:numCache>
                <c:formatCode>General</c:formatCode>
                <c:ptCount val="10"/>
                <c:pt idx="0">
                  <c:v>2364</c:v>
                </c:pt>
                <c:pt idx="1">
                  <c:v>1476</c:v>
                </c:pt>
                <c:pt idx="2">
                  <c:v>8152</c:v>
                </c:pt>
                <c:pt idx="3">
                  <c:v>19928</c:v>
                </c:pt>
                <c:pt idx="4">
                  <c:v>72540</c:v>
                </c:pt>
                <c:pt idx="5">
                  <c:v>120736</c:v>
                </c:pt>
                <c:pt idx="6">
                  <c:v>65328</c:v>
                </c:pt>
                <c:pt idx="7">
                  <c:v>32367</c:v>
                </c:pt>
                <c:pt idx="8">
                  <c:v>4549</c:v>
                </c:pt>
                <c:pt idx="9">
                  <c:v>4346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0-4657-A7FD-4EFC975E5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6675392"/>
        <c:axId val="1066672512"/>
      </c:barChart>
      <c:catAx>
        <c:axId val="106667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672512"/>
        <c:crosses val="autoZero"/>
        <c:auto val="1"/>
        <c:lblAlgn val="ctr"/>
        <c:lblOffset val="100"/>
        <c:noMultiLvlLbl val="0"/>
      </c:catAx>
      <c:valAx>
        <c:axId val="1066672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66675392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3</xdr:row>
      <xdr:rowOff>76200</xdr:rowOff>
    </xdr:from>
    <xdr:to>
      <xdr:col>14</xdr:col>
      <xdr:colOff>419100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171450</xdr:colOff>
      <xdr:row>3</xdr:row>
      <xdr:rowOff>85725</xdr:rowOff>
    </xdr:from>
    <xdr:to>
      <xdr:col>6</xdr:col>
      <xdr:colOff>266700</xdr:colOff>
      <xdr:row>16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552449</xdr:colOff>
      <xdr:row>10</xdr:row>
      <xdr:rowOff>157162</xdr:rowOff>
    </xdr:from>
    <xdr:to>
      <xdr:col>24</xdr:col>
      <xdr:colOff>114300</xdr:colOff>
      <xdr:row>25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"/>
  <sheetViews>
    <sheetView topLeftCell="A4" workbookViewId="0">
      <selection activeCell="E15" sqref="E15"/>
    </sheetView>
  </sheetViews>
  <sheetFormatPr defaultRowHeight="14.5" x14ac:dyDescent="0.35"/>
  <sheetData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3</v>
      </c>
      <c r="B3">
        <v>8597</v>
      </c>
      <c r="C3">
        <v>10059</v>
      </c>
    </row>
    <row r="4" spans="1:3" x14ac:dyDescent="0.35">
      <c r="A4" t="s">
        <v>4</v>
      </c>
      <c r="B4">
        <v>12154</v>
      </c>
      <c r="C4">
        <v>11426</v>
      </c>
    </row>
    <row r="5" spans="1:3" x14ac:dyDescent="0.35">
      <c r="A5" t="s">
        <v>5</v>
      </c>
      <c r="B5">
        <v>14004</v>
      </c>
      <c r="C5">
        <v>13420</v>
      </c>
    </row>
    <row r="6" spans="1:3" x14ac:dyDescent="0.35">
      <c r="A6" t="s">
        <v>6</v>
      </c>
      <c r="B6">
        <v>13726</v>
      </c>
      <c r="C6">
        <v>13919</v>
      </c>
    </row>
    <row r="7" spans="1:3" x14ac:dyDescent="0.35">
      <c r="A7" t="s">
        <v>7</v>
      </c>
      <c r="B7">
        <v>16720</v>
      </c>
      <c r="C7">
        <v>15615</v>
      </c>
    </row>
    <row r="8" spans="1:3" x14ac:dyDescent="0.35">
      <c r="A8" t="s">
        <v>8</v>
      </c>
      <c r="B8">
        <v>15406</v>
      </c>
      <c r="C8">
        <v>15082</v>
      </c>
    </row>
    <row r="9" spans="1:3" x14ac:dyDescent="0.35">
      <c r="A9" t="s">
        <v>9</v>
      </c>
      <c r="B9">
        <v>14872</v>
      </c>
      <c r="C9">
        <v>14933</v>
      </c>
    </row>
    <row r="10" spans="1:3" x14ac:dyDescent="0.35">
      <c r="A10" t="s">
        <v>10</v>
      </c>
      <c r="B10">
        <v>14687</v>
      </c>
      <c r="C10">
        <v>15156</v>
      </c>
    </row>
    <row r="11" spans="1:3" x14ac:dyDescent="0.35">
      <c r="A11" t="s">
        <v>11</v>
      </c>
      <c r="B11">
        <v>16275</v>
      </c>
      <c r="C11">
        <v>16049</v>
      </c>
    </row>
    <row r="12" spans="1:3" x14ac:dyDescent="0.35">
      <c r="A12" t="s">
        <v>12</v>
      </c>
      <c r="B12">
        <v>15956</v>
      </c>
      <c r="C12">
        <v>16974</v>
      </c>
    </row>
    <row r="13" spans="1:3" x14ac:dyDescent="0.35">
      <c r="A13" t="s">
        <v>13</v>
      </c>
      <c r="B13">
        <v>11370</v>
      </c>
      <c r="C13">
        <v>11814</v>
      </c>
    </row>
    <row r="14" spans="1:3" x14ac:dyDescent="0.35">
      <c r="A14" t="s">
        <v>14</v>
      </c>
      <c r="B14">
        <v>11347</v>
      </c>
      <c r="C14">
        <v>9787</v>
      </c>
    </row>
    <row r="15" spans="1:3" x14ac:dyDescent="0.35">
      <c r="B15">
        <f>SUM(B3:B14)</f>
        <v>165114</v>
      </c>
      <c r="C15">
        <f>SUM(C3:C14)</f>
        <v>164234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5"/>
  <sheetViews>
    <sheetView showGridLines="0" topLeftCell="A13" workbookViewId="0">
      <selection activeCell="G16" sqref="G16"/>
    </sheetView>
  </sheetViews>
  <sheetFormatPr defaultRowHeight="14.5" x14ac:dyDescent="0.35"/>
  <cols>
    <col min="1" max="1" width="39.1796875" customWidth="1"/>
    <col min="2" max="2" width="22.7265625" customWidth="1"/>
    <col min="3" max="3" width="26.81640625" customWidth="1"/>
    <col min="4" max="4" width="24.81640625" customWidth="1"/>
    <col min="5" max="5" width="13.1796875" customWidth="1"/>
    <col min="7" max="7" width="69.26953125" customWidth="1"/>
  </cols>
  <sheetData>
    <row r="2" spans="1: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ht="31.5" customHeight="1" x14ac:dyDescent="0.7">
      <c r="A3" t="s">
        <v>20</v>
      </c>
      <c r="B3" s="1">
        <v>168789</v>
      </c>
    </row>
    <row r="4" spans="1:5" x14ac:dyDescent="0.35">
      <c r="A4" t="s">
        <v>21</v>
      </c>
      <c r="B4">
        <v>165114</v>
      </c>
    </row>
    <row r="5" spans="1:5" x14ac:dyDescent="0.35">
      <c r="A5" t="s">
        <v>22</v>
      </c>
      <c r="B5">
        <v>164234</v>
      </c>
    </row>
    <row r="6" spans="1:5" x14ac:dyDescent="0.35">
      <c r="A6" t="s">
        <v>23</v>
      </c>
      <c r="B6">
        <v>1</v>
      </c>
    </row>
    <row r="7" spans="1:5" x14ac:dyDescent="0.35">
      <c r="A7" t="s">
        <v>24</v>
      </c>
      <c r="B7">
        <v>1</v>
      </c>
    </row>
    <row r="8" spans="1:5" ht="31.5" customHeight="1" x14ac:dyDescent="0.7">
      <c r="A8" t="s">
        <v>25</v>
      </c>
      <c r="B8" s="2">
        <v>28.586841272472459</v>
      </c>
    </row>
    <row r="9" spans="1:5" x14ac:dyDescent="0.35">
      <c r="A9" t="s">
        <v>26</v>
      </c>
      <c r="B9">
        <v>4</v>
      </c>
    </row>
    <row r="10" spans="1:5" x14ac:dyDescent="0.35">
      <c r="A10" t="s">
        <v>27</v>
      </c>
      <c r="B10">
        <v>331799</v>
      </c>
    </row>
    <row r="11" spans="1:5" ht="31.5" customHeight="1" x14ac:dyDescent="0.7">
      <c r="C11" t="s">
        <v>28</v>
      </c>
      <c r="D11" s="3" t="s">
        <v>29</v>
      </c>
      <c r="E11" s="4">
        <v>853</v>
      </c>
    </row>
    <row r="12" spans="1:5" ht="31.5" customHeight="1" x14ac:dyDescent="0.7">
      <c r="C12" t="s">
        <v>30</v>
      </c>
      <c r="D12" s="5" t="s">
        <v>31</v>
      </c>
      <c r="E12" s="6">
        <v>786</v>
      </c>
    </row>
    <row r="13" spans="1:5" ht="31.5" customHeight="1" x14ac:dyDescent="0.7">
      <c r="C13" t="s">
        <v>32</v>
      </c>
      <c r="D13" s="7" t="s">
        <v>29</v>
      </c>
      <c r="E13" s="8">
        <v>1351</v>
      </c>
    </row>
    <row r="14" spans="1:5" ht="31.5" customHeight="1" x14ac:dyDescent="0.7">
      <c r="A14" t="s">
        <v>33</v>
      </c>
      <c r="B14" s="9" t="s">
        <v>34</v>
      </c>
    </row>
    <row r="15" spans="1:5" ht="31.5" customHeight="1" x14ac:dyDescent="0.6">
      <c r="A15" t="s">
        <v>35</v>
      </c>
      <c r="B15" s="22" t="s">
        <v>36</v>
      </c>
    </row>
    <row r="16" spans="1:5" ht="31.5" customHeight="1" x14ac:dyDescent="0.7">
      <c r="A16" t="s">
        <v>37</v>
      </c>
      <c r="B16" s="10" t="s">
        <v>38</v>
      </c>
    </row>
    <row r="17" spans="1:2" ht="31.5" customHeight="1" x14ac:dyDescent="0.6">
      <c r="A17" t="s">
        <v>39</v>
      </c>
      <c r="B17" s="23" t="s">
        <v>40</v>
      </c>
    </row>
    <row r="18" spans="1:2" x14ac:dyDescent="0.35">
      <c r="A18" t="s">
        <v>41</v>
      </c>
      <c r="B18">
        <v>-59941.683333333327</v>
      </c>
    </row>
    <row r="19" spans="1:2" x14ac:dyDescent="0.35">
      <c r="A19" t="s">
        <v>42</v>
      </c>
      <c r="B19">
        <v>-5.8833333333333337</v>
      </c>
    </row>
    <row r="20" spans="1:2" x14ac:dyDescent="0.35">
      <c r="A20" t="s">
        <v>43</v>
      </c>
      <c r="B20">
        <v>38.116666666666667</v>
      </c>
    </row>
    <row r="21" spans="1:2" x14ac:dyDescent="0.35">
      <c r="A21" t="s">
        <v>44</v>
      </c>
      <c r="B21">
        <v>1668052.166666667</v>
      </c>
    </row>
    <row r="22" spans="1:2" x14ac:dyDescent="0.35">
      <c r="A22" t="s">
        <v>45</v>
      </c>
      <c r="B22">
        <v>-525480</v>
      </c>
    </row>
    <row r="23" spans="1:2" x14ac:dyDescent="0.35">
      <c r="A23" t="s">
        <v>46</v>
      </c>
      <c r="B23">
        <v>27</v>
      </c>
    </row>
    <row r="24" spans="1:2" x14ac:dyDescent="0.35">
      <c r="A24" t="s">
        <v>47</v>
      </c>
      <c r="B24">
        <v>70</v>
      </c>
    </row>
    <row r="25" spans="1:2" x14ac:dyDescent="0.35">
      <c r="A25" t="s">
        <v>48</v>
      </c>
      <c r="B25">
        <v>2067995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15"/>
  <sheetViews>
    <sheetView showGridLines="0" workbookViewId="0">
      <selection activeCell="Q7" sqref="Q7"/>
    </sheetView>
  </sheetViews>
  <sheetFormatPr defaultRowHeight="14.5" x14ac:dyDescent="0.35"/>
  <cols>
    <col min="14" max="14" width="11.26953125" customWidth="1"/>
    <col min="16" max="16" width="36.26953125" customWidth="1"/>
  </cols>
  <sheetData>
    <row r="2" spans="1:16" x14ac:dyDescent="0.3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N2" t="s">
        <v>59</v>
      </c>
    </row>
    <row r="3" spans="1:16" x14ac:dyDescent="0.35">
      <c r="A3">
        <v>-99999</v>
      </c>
      <c r="B3">
        <v>-180</v>
      </c>
      <c r="C3">
        <v>-50089.5</v>
      </c>
      <c r="D3">
        <v>2364</v>
      </c>
      <c r="E3">
        <v>1788</v>
      </c>
      <c r="F3">
        <v>0</v>
      </c>
      <c r="G3">
        <v>54.369208246055557</v>
      </c>
      <c r="H3">
        <v>14.31666666666667</v>
      </c>
      <c r="I3">
        <v>134.79540662695331</v>
      </c>
      <c r="J3">
        <v>45</v>
      </c>
      <c r="N3" s="21">
        <f>B3</f>
        <v>-180</v>
      </c>
    </row>
    <row r="4" spans="1:16" x14ac:dyDescent="0.35">
      <c r="A4">
        <v>-180</v>
      </c>
      <c r="B4">
        <v>-120</v>
      </c>
      <c r="C4">
        <v>-150</v>
      </c>
      <c r="D4">
        <v>1476</v>
      </c>
      <c r="E4">
        <v>295</v>
      </c>
      <c r="F4">
        <v>0</v>
      </c>
      <c r="G4">
        <v>54.369208246055557</v>
      </c>
      <c r="H4">
        <v>14.31666666666667</v>
      </c>
      <c r="I4">
        <v>134.79540662695331</v>
      </c>
      <c r="J4">
        <v>45</v>
      </c>
      <c r="N4" s="21" t="str">
        <f>B4 &amp; " to " &amp; A4</f>
        <v>-120 to -180</v>
      </c>
    </row>
    <row r="5" spans="1:16" x14ac:dyDescent="0.35">
      <c r="A5">
        <v>-120</v>
      </c>
      <c r="B5">
        <v>-60</v>
      </c>
      <c r="C5">
        <v>-90</v>
      </c>
      <c r="D5">
        <v>8152</v>
      </c>
      <c r="E5">
        <v>455</v>
      </c>
      <c r="F5">
        <v>0</v>
      </c>
      <c r="G5">
        <v>54.369208246055557</v>
      </c>
      <c r="H5">
        <v>14.31666666666667</v>
      </c>
      <c r="I5">
        <v>134.79540662695331</v>
      </c>
      <c r="J5">
        <v>45</v>
      </c>
      <c r="N5" s="21" t="str">
        <f>B5 &amp; " to " &amp; A5</f>
        <v>-60 to -120</v>
      </c>
    </row>
    <row r="6" spans="1:16" x14ac:dyDescent="0.35">
      <c r="A6">
        <v>-60</v>
      </c>
      <c r="B6">
        <v>-30</v>
      </c>
      <c r="C6">
        <v>-45</v>
      </c>
      <c r="D6">
        <v>19928</v>
      </c>
      <c r="E6">
        <v>357</v>
      </c>
      <c r="F6">
        <v>0</v>
      </c>
      <c r="G6">
        <v>54.369208246055557</v>
      </c>
      <c r="H6">
        <v>14.31666666666667</v>
      </c>
      <c r="I6">
        <v>134.79540662695331</v>
      </c>
      <c r="J6">
        <v>45</v>
      </c>
      <c r="N6" s="21" t="str">
        <f>B6 &amp; " to " &amp; A6</f>
        <v>-30 to -60</v>
      </c>
    </row>
    <row r="7" spans="1:16" x14ac:dyDescent="0.35">
      <c r="A7">
        <v>-30</v>
      </c>
      <c r="B7">
        <v>0</v>
      </c>
      <c r="C7">
        <v>-15</v>
      </c>
      <c r="D7">
        <v>72540</v>
      </c>
      <c r="E7">
        <v>3051</v>
      </c>
      <c r="F7">
        <v>0</v>
      </c>
      <c r="G7">
        <v>54.369208246055557</v>
      </c>
      <c r="H7">
        <v>14.31666666666667</v>
      </c>
      <c r="I7">
        <v>134.79540662695331</v>
      </c>
      <c r="J7">
        <v>45</v>
      </c>
      <c r="N7" s="21" t="str">
        <f>B7 &amp; " to " &amp; A7</f>
        <v>0 to -30</v>
      </c>
    </row>
    <row r="8" spans="1:16" x14ac:dyDescent="0.35">
      <c r="A8">
        <v>0</v>
      </c>
      <c r="B8">
        <v>30</v>
      </c>
      <c r="C8">
        <v>15</v>
      </c>
      <c r="D8">
        <v>120736</v>
      </c>
      <c r="E8">
        <v>42382</v>
      </c>
      <c r="F8">
        <v>0</v>
      </c>
      <c r="G8">
        <v>54.369208246055557</v>
      </c>
      <c r="H8">
        <v>14.31666666666667</v>
      </c>
      <c r="I8">
        <v>134.79540662695331</v>
      </c>
      <c r="J8">
        <v>45</v>
      </c>
      <c r="N8" s="21" t="str">
        <f>A8 &amp; " to " &amp; B8</f>
        <v>0 to 30</v>
      </c>
    </row>
    <row r="9" spans="1:16" x14ac:dyDescent="0.35">
      <c r="A9">
        <v>30</v>
      </c>
      <c r="B9">
        <v>60</v>
      </c>
      <c r="C9">
        <v>45</v>
      </c>
      <c r="D9">
        <v>65328</v>
      </c>
      <c r="E9">
        <v>63722</v>
      </c>
      <c r="F9">
        <v>0</v>
      </c>
      <c r="G9">
        <v>54.369208246055557</v>
      </c>
      <c r="H9">
        <v>14.31666666666667</v>
      </c>
      <c r="I9">
        <v>134.79540662695331</v>
      </c>
      <c r="J9">
        <v>45</v>
      </c>
      <c r="N9" s="21" t="str">
        <f>A9 &amp; " to " &amp; B9</f>
        <v>30 to 60</v>
      </c>
    </row>
    <row r="10" spans="1:16" x14ac:dyDescent="0.35">
      <c r="A10">
        <v>60</v>
      </c>
      <c r="B10">
        <v>120</v>
      </c>
      <c r="C10">
        <v>90</v>
      </c>
      <c r="D10">
        <v>32367</v>
      </c>
      <c r="E10">
        <v>41209</v>
      </c>
      <c r="F10">
        <v>0</v>
      </c>
      <c r="G10">
        <v>54.369208246055557</v>
      </c>
      <c r="H10">
        <v>14.31666666666667</v>
      </c>
      <c r="I10">
        <v>134.79540662695331</v>
      </c>
      <c r="J10">
        <v>45</v>
      </c>
      <c r="N10" s="21" t="str">
        <f>A10 &amp; " to " &amp; B10</f>
        <v>60 to 120</v>
      </c>
    </row>
    <row r="11" spans="1:16" x14ac:dyDescent="0.35">
      <c r="A11">
        <v>120</v>
      </c>
      <c r="B11">
        <v>180</v>
      </c>
      <c r="C11">
        <v>150</v>
      </c>
      <c r="D11">
        <v>4549</v>
      </c>
      <c r="E11">
        <v>7105</v>
      </c>
      <c r="F11">
        <v>0</v>
      </c>
      <c r="G11">
        <v>54.369208246055557</v>
      </c>
      <c r="H11">
        <v>14.31666666666667</v>
      </c>
      <c r="I11">
        <v>134.79540662695331</v>
      </c>
      <c r="J11">
        <v>45</v>
      </c>
      <c r="N11" s="21" t="str">
        <f>A11 &amp; " to " &amp; B11</f>
        <v>120 to 180</v>
      </c>
    </row>
    <row r="12" spans="1:16" x14ac:dyDescent="0.35">
      <c r="A12">
        <v>180</v>
      </c>
      <c r="B12">
        <v>99999</v>
      </c>
      <c r="C12">
        <v>50089.5</v>
      </c>
      <c r="D12">
        <v>4346</v>
      </c>
      <c r="E12">
        <v>7984</v>
      </c>
      <c r="F12">
        <v>0</v>
      </c>
      <c r="G12">
        <v>54.369208246055557</v>
      </c>
      <c r="H12">
        <v>14.31666666666667</v>
      </c>
      <c r="I12">
        <v>134.79540662695331</v>
      </c>
      <c r="J12">
        <v>45</v>
      </c>
      <c r="N12" s="21" t="str">
        <f>A12 &amp; "+"</f>
        <v>180+</v>
      </c>
    </row>
    <row r="14" spans="1:16" ht="61" customHeight="1" x14ac:dyDescent="0.35">
      <c r="P14" s="28" t="str">
        <f>"The majority of fastpark users will check-in "&amp; TEXT(ABS(H3), 0) &amp; " minutes " &amp; IF(H3 &lt;0, " earlier ", "later ") &amp; "than their booked entry time" &amp; " &amp; check-out " &amp; TEXT(ABS(J3), 0) &amp; " minutes " &amp; IF(J3 &lt;0, " earlier ", "later ") &amp; "than their booked exit time"</f>
        <v>The majority of fastpark users will check-in 14 minutes later than their booked entry time &amp; check-out 45 minutes later than their booked exit time</v>
      </c>
    </row>
    <row r="15" spans="1:16" ht="29.15" customHeight="1" x14ac:dyDescent="0.35">
      <c r="P15" s="2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8"/>
  <sheetViews>
    <sheetView showGridLines="0" workbookViewId="0">
      <selection activeCell="H9" sqref="H9"/>
    </sheetView>
  </sheetViews>
  <sheetFormatPr defaultRowHeight="14.5" x14ac:dyDescent="0.35"/>
  <cols>
    <col min="1" max="1" width="17.7265625" customWidth="1"/>
    <col min="2" max="2" width="14.1796875" customWidth="1"/>
    <col min="3" max="3" width="13.7265625" customWidth="1"/>
  </cols>
  <sheetData>
    <row r="2" spans="1:3" x14ac:dyDescent="0.35">
      <c r="A2" t="s">
        <v>60</v>
      </c>
      <c r="B2" t="s">
        <v>61</v>
      </c>
      <c r="C2" t="s">
        <v>62</v>
      </c>
    </row>
    <row r="3" spans="1:3" x14ac:dyDescent="0.35">
      <c r="A3" t="s">
        <v>63</v>
      </c>
      <c r="B3">
        <v>85.888483796296299</v>
      </c>
      <c r="C3" t="s">
        <v>64</v>
      </c>
    </row>
    <row r="4" spans="1:3" x14ac:dyDescent="0.35">
      <c r="A4" t="s">
        <v>65</v>
      </c>
      <c r="B4">
        <v>78.536759259259256</v>
      </c>
      <c r="C4" t="s">
        <v>64</v>
      </c>
    </row>
    <row r="5" spans="1:3" x14ac:dyDescent="0.35">
      <c r="A5" t="s">
        <v>66</v>
      </c>
      <c r="B5">
        <v>78.075046296296293</v>
      </c>
      <c r="C5" t="s">
        <v>64</v>
      </c>
    </row>
    <row r="6" spans="1:3" x14ac:dyDescent="0.35">
      <c r="A6" t="s">
        <v>67</v>
      </c>
      <c r="B6">
        <v>1.041666666666667E-4</v>
      </c>
      <c r="C6" t="s">
        <v>68</v>
      </c>
    </row>
    <row r="7" spans="1:3" x14ac:dyDescent="0.35">
      <c r="A7" t="s">
        <v>69</v>
      </c>
      <c r="B7">
        <v>3.7037037037037041E-4</v>
      </c>
      <c r="C7" t="s">
        <v>68</v>
      </c>
    </row>
    <row r="8" spans="1:3" x14ac:dyDescent="0.35">
      <c r="A8" t="s">
        <v>70</v>
      </c>
      <c r="B8">
        <v>6.5972222222222224E-4</v>
      </c>
      <c r="C8" t="s">
        <v>68</v>
      </c>
    </row>
    <row r="9" spans="1:3" ht="31.5" customHeight="1" x14ac:dyDescent="0.7">
      <c r="A9" t="s">
        <v>71</v>
      </c>
      <c r="B9" s="11">
        <v>7.9214878535051652</v>
      </c>
      <c r="C9" t="s">
        <v>72</v>
      </c>
    </row>
    <row r="10" spans="1:3" x14ac:dyDescent="0.35">
      <c r="A10" t="s">
        <v>73</v>
      </c>
      <c r="B10">
        <v>2011</v>
      </c>
      <c r="C10" t="s">
        <v>74</v>
      </c>
    </row>
    <row r="11" spans="1:3" x14ac:dyDescent="0.35">
      <c r="A11" t="s">
        <v>75</v>
      </c>
      <c r="B11">
        <v>5073</v>
      </c>
      <c r="C11" t="s">
        <v>74</v>
      </c>
    </row>
    <row r="12" spans="1:3" x14ac:dyDescent="0.35">
      <c r="A12" t="s">
        <v>76</v>
      </c>
      <c r="B12">
        <v>51369</v>
      </c>
      <c r="C12" t="s">
        <v>74</v>
      </c>
    </row>
    <row r="13" spans="1:3" x14ac:dyDescent="0.35">
      <c r="A13" t="s">
        <v>77</v>
      </c>
      <c r="B13">
        <v>67697</v>
      </c>
      <c r="C13" t="s">
        <v>74</v>
      </c>
    </row>
    <row r="14" spans="1:3" x14ac:dyDescent="0.35">
      <c r="A14" t="s">
        <v>78</v>
      </c>
      <c r="B14">
        <v>20818</v>
      </c>
      <c r="C14" t="s">
        <v>74</v>
      </c>
    </row>
    <row r="15" spans="1:3" x14ac:dyDescent="0.35">
      <c r="A15" t="s">
        <v>79</v>
      </c>
      <c r="B15">
        <v>13685</v>
      </c>
      <c r="C15" t="s">
        <v>74</v>
      </c>
    </row>
    <row r="16" spans="1:3" x14ac:dyDescent="0.35">
      <c r="A16" t="s">
        <v>80</v>
      </c>
      <c r="B16">
        <v>2116</v>
      </c>
      <c r="C16" t="s">
        <v>74</v>
      </c>
    </row>
    <row r="17" spans="1:3" x14ac:dyDescent="0.35">
      <c r="A17" t="s">
        <v>81</v>
      </c>
      <c r="B17">
        <v>445</v>
      </c>
      <c r="C17" t="s">
        <v>74</v>
      </c>
    </row>
    <row r="18" spans="1:3" x14ac:dyDescent="0.35">
      <c r="A18" t="s">
        <v>82</v>
      </c>
      <c r="B18">
        <v>8</v>
      </c>
      <c r="C18" t="s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46"/>
  <sheetViews>
    <sheetView showGridLines="0" workbookViewId="0">
      <selection activeCell="C44" sqref="C44"/>
    </sheetView>
  </sheetViews>
  <sheetFormatPr defaultRowHeight="14.5" x14ac:dyDescent="0.35"/>
  <cols>
    <col min="2" max="3" width="18" customWidth="1"/>
    <col min="6" max="6" width="51" customWidth="1"/>
  </cols>
  <sheetData>
    <row r="2" spans="1:5" x14ac:dyDescent="0.35">
      <c r="A2" t="s">
        <v>83</v>
      </c>
      <c r="B2" t="s">
        <v>84</v>
      </c>
      <c r="C2" t="s">
        <v>85</v>
      </c>
      <c r="D2" t="s">
        <v>86</v>
      </c>
    </row>
    <row r="3" spans="1:5" ht="18.75" customHeight="1" x14ac:dyDescent="0.45">
      <c r="A3" t="s">
        <v>87</v>
      </c>
      <c r="B3" s="15" t="s">
        <v>88</v>
      </c>
      <c r="C3">
        <v>39639</v>
      </c>
      <c r="D3">
        <v>23.484350283490041</v>
      </c>
      <c r="E3" s="18" t="str">
        <f>TEXT(D3, 0) &amp; "%"</f>
        <v>23%</v>
      </c>
    </row>
    <row r="4" spans="1:5" ht="18.75" customHeight="1" x14ac:dyDescent="0.45">
      <c r="A4" t="s">
        <v>87</v>
      </c>
      <c r="B4" s="17" t="s">
        <v>89</v>
      </c>
      <c r="C4">
        <v>37080</v>
      </c>
      <c r="D4">
        <v>21.96825622522795</v>
      </c>
      <c r="E4" s="19" t="str">
        <f>TEXT(D4, 0) &amp; "%"</f>
        <v>22%</v>
      </c>
    </row>
    <row r="5" spans="1:5" ht="18.75" customHeight="1" x14ac:dyDescent="0.45">
      <c r="A5" t="s">
        <v>87</v>
      </c>
      <c r="B5" s="16" t="s">
        <v>90</v>
      </c>
      <c r="C5">
        <v>13986</v>
      </c>
      <c r="D5">
        <v>8.2860849936903467</v>
      </c>
      <c r="E5" s="20" t="str">
        <f>TEXT(D5, 0) &amp; "%"</f>
        <v>8%</v>
      </c>
    </row>
    <row r="6" spans="1:5" x14ac:dyDescent="0.35">
      <c r="A6" t="s">
        <v>87</v>
      </c>
      <c r="B6" t="s">
        <v>91</v>
      </c>
      <c r="C6">
        <v>10652</v>
      </c>
      <c r="D6">
        <v>6.3108377915622462</v>
      </c>
    </row>
    <row r="7" spans="1:5" x14ac:dyDescent="0.35">
      <c r="A7" t="s">
        <v>87</v>
      </c>
      <c r="B7" t="s">
        <v>92</v>
      </c>
      <c r="C7">
        <v>4686</v>
      </c>
      <c r="D7">
        <v>2.7762472672982241</v>
      </c>
    </row>
    <row r="8" spans="1:5" x14ac:dyDescent="0.35">
      <c r="A8" t="s">
        <v>87</v>
      </c>
      <c r="B8" t="s">
        <v>93</v>
      </c>
      <c r="C8">
        <v>3489</v>
      </c>
      <c r="D8">
        <v>2.0670778309013031</v>
      </c>
    </row>
    <row r="9" spans="1:5" x14ac:dyDescent="0.35">
      <c r="A9" t="s">
        <v>87</v>
      </c>
      <c r="B9" t="s">
        <v>94</v>
      </c>
      <c r="C9">
        <v>3131</v>
      </c>
      <c r="D9">
        <v>1.8549787012186809</v>
      </c>
    </row>
    <row r="10" spans="1:5" x14ac:dyDescent="0.35">
      <c r="A10" t="s">
        <v>87</v>
      </c>
      <c r="B10" t="s">
        <v>95</v>
      </c>
      <c r="C10">
        <v>2936</v>
      </c>
      <c r="D10">
        <v>1.739449845665298</v>
      </c>
    </row>
    <row r="11" spans="1:5" x14ac:dyDescent="0.35">
      <c r="A11" t="s">
        <v>87</v>
      </c>
      <c r="B11" t="s">
        <v>96</v>
      </c>
      <c r="C11">
        <v>2574</v>
      </c>
      <c r="D11">
        <v>1.524980893304658</v>
      </c>
    </row>
    <row r="12" spans="1:5" x14ac:dyDescent="0.35">
      <c r="A12" t="s">
        <v>87</v>
      </c>
      <c r="B12" t="s">
        <v>97</v>
      </c>
      <c r="C12">
        <v>1744</v>
      </c>
      <c r="D12">
        <v>1.0332426876158991</v>
      </c>
    </row>
    <row r="13" spans="1:5" x14ac:dyDescent="0.35">
      <c r="A13" t="s">
        <v>87</v>
      </c>
      <c r="B13" t="s">
        <v>98</v>
      </c>
      <c r="C13">
        <v>1705</v>
      </c>
      <c r="D13">
        <v>1.010136916505223</v>
      </c>
    </row>
    <row r="14" spans="1:5" x14ac:dyDescent="0.35">
      <c r="A14" t="s">
        <v>87</v>
      </c>
      <c r="B14" t="s">
        <v>99</v>
      </c>
      <c r="C14">
        <v>1673</v>
      </c>
      <c r="D14">
        <v>0.99117833508107744</v>
      </c>
    </row>
    <row r="15" spans="1:5" x14ac:dyDescent="0.35">
      <c r="A15" t="s">
        <v>87</v>
      </c>
      <c r="B15" t="s">
        <v>100</v>
      </c>
      <c r="C15">
        <v>1507</v>
      </c>
      <c r="D15">
        <v>0.8928306939433257</v>
      </c>
    </row>
    <row r="16" spans="1:5" x14ac:dyDescent="0.35">
      <c r="A16" t="s">
        <v>87</v>
      </c>
      <c r="B16" t="s">
        <v>101</v>
      </c>
      <c r="C16">
        <v>1468</v>
      </c>
      <c r="D16">
        <v>0.86972492283264902</v>
      </c>
    </row>
    <row r="17" spans="1:4" x14ac:dyDescent="0.35">
      <c r="A17" t="s">
        <v>87</v>
      </c>
      <c r="B17" t="s">
        <v>102</v>
      </c>
      <c r="C17">
        <v>1307</v>
      </c>
      <c r="D17">
        <v>0.77433956004241988</v>
      </c>
    </row>
    <row r="18" spans="1:4" x14ac:dyDescent="0.35">
      <c r="A18" t="s">
        <v>87</v>
      </c>
      <c r="B18" t="s">
        <v>103</v>
      </c>
      <c r="C18">
        <v>1062</v>
      </c>
      <c r="D18">
        <v>0.62918792101381016</v>
      </c>
    </row>
    <row r="19" spans="1:4" x14ac:dyDescent="0.35">
      <c r="A19" t="s">
        <v>87</v>
      </c>
      <c r="B19" t="s">
        <v>104</v>
      </c>
      <c r="C19">
        <v>1059</v>
      </c>
      <c r="D19">
        <v>0.62741055400529655</v>
      </c>
    </row>
    <row r="20" spans="1:4" x14ac:dyDescent="0.35">
      <c r="A20" t="s">
        <v>87</v>
      </c>
      <c r="B20" t="s">
        <v>105</v>
      </c>
      <c r="C20">
        <v>673</v>
      </c>
      <c r="D20">
        <v>0.39872266557654829</v>
      </c>
    </row>
    <row r="21" spans="1:4" x14ac:dyDescent="0.35">
      <c r="A21" t="s">
        <v>87</v>
      </c>
      <c r="B21" t="s">
        <v>106</v>
      </c>
      <c r="C21">
        <v>499</v>
      </c>
      <c r="D21">
        <v>0.29563537908276022</v>
      </c>
    </row>
    <row r="22" spans="1:4" x14ac:dyDescent="0.35">
      <c r="A22" t="s">
        <v>87</v>
      </c>
      <c r="B22" t="s">
        <v>107</v>
      </c>
      <c r="C22">
        <v>444</v>
      </c>
      <c r="D22">
        <v>0.26305031726001099</v>
      </c>
    </row>
    <row r="23" spans="1:4" x14ac:dyDescent="0.35">
      <c r="A23" t="s">
        <v>87</v>
      </c>
      <c r="B23" t="s">
        <v>108</v>
      </c>
      <c r="C23">
        <v>432</v>
      </c>
      <c r="D23">
        <v>0.25594084922595672</v>
      </c>
    </row>
    <row r="24" spans="1:4" x14ac:dyDescent="0.35">
      <c r="A24" t="s">
        <v>87</v>
      </c>
      <c r="B24" t="s">
        <v>109</v>
      </c>
      <c r="C24">
        <v>431</v>
      </c>
      <c r="D24">
        <v>0.25534839355645211</v>
      </c>
    </row>
    <row r="25" spans="1:4" x14ac:dyDescent="0.35">
      <c r="A25" t="s">
        <v>87</v>
      </c>
      <c r="B25" t="s">
        <v>110</v>
      </c>
      <c r="C25">
        <v>426</v>
      </c>
      <c r="D25">
        <v>0.25238611520892951</v>
      </c>
    </row>
    <row r="26" spans="1:4" x14ac:dyDescent="0.35">
      <c r="A26" t="s">
        <v>87</v>
      </c>
      <c r="B26" t="s">
        <v>111</v>
      </c>
      <c r="C26">
        <v>393</v>
      </c>
      <c r="D26">
        <v>0.23283507811528001</v>
      </c>
    </row>
    <row r="27" spans="1:4" x14ac:dyDescent="0.35">
      <c r="A27" t="s">
        <v>87</v>
      </c>
      <c r="B27" t="s">
        <v>112</v>
      </c>
      <c r="C27">
        <v>356</v>
      </c>
      <c r="D27">
        <v>0.2109142183436124</v>
      </c>
    </row>
    <row r="28" spans="1:4" x14ac:dyDescent="0.35">
      <c r="A28" t="s">
        <v>87</v>
      </c>
      <c r="B28" t="s">
        <v>113</v>
      </c>
      <c r="C28">
        <v>348</v>
      </c>
      <c r="D28">
        <v>0.20617457298757619</v>
      </c>
    </row>
    <row r="29" spans="1:4" x14ac:dyDescent="0.35">
      <c r="A29" t="s">
        <v>87</v>
      </c>
      <c r="B29" t="s">
        <v>114</v>
      </c>
      <c r="C29">
        <v>344</v>
      </c>
      <c r="D29">
        <v>0.20380475030955811</v>
      </c>
    </row>
    <row r="30" spans="1:4" x14ac:dyDescent="0.35">
      <c r="A30" t="s">
        <v>87</v>
      </c>
      <c r="B30" t="s">
        <v>115</v>
      </c>
      <c r="C30">
        <v>276</v>
      </c>
      <c r="D30">
        <v>0.16351776478325011</v>
      </c>
    </row>
    <row r="31" spans="1:4" x14ac:dyDescent="0.35">
      <c r="A31" t="s">
        <v>87</v>
      </c>
      <c r="B31" t="s">
        <v>116</v>
      </c>
      <c r="C31">
        <v>213</v>
      </c>
      <c r="D31">
        <v>0.12619305760446481</v>
      </c>
    </row>
    <row r="32" spans="1:4" x14ac:dyDescent="0.35">
      <c r="A32" t="s">
        <v>87</v>
      </c>
      <c r="B32" t="s">
        <v>117</v>
      </c>
      <c r="C32">
        <v>183</v>
      </c>
      <c r="D32">
        <v>0.10841938751932891</v>
      </c>
    </row>
    <row r="33" spans="1:4" x14ac:dyDescent="0.35">
      <c r="A33" t="s">
        <v>87</v>
      </c>
      <c r="B33" t="s">
        <v>118</v>
      </c>
      <c r="C33">
        <v>109</v>
      </c>
      <c r="D33">
        <v>6.4577667975993694E-2</v>
      </c>
    </row>
    <row r="34" spans="1:4" x14ac:dyDescent="0.35">
      <c r="A34" t="s">
        <v>87</v>
      </c>
      <c r="B34" t="s">
        <v>119</v>
      </c>
      <c r="C34">
        <v>80</v>
      </c>
      <c r="D34">
        <v>4.7396453560362338E-2</v>
      </c>
    </row>
    <row r="35" spans="1:4" x14ac:dyDescent="0.35">
      <c r="A35" t="s">
        <v>87</v>
      </c>
      <c r="B35" t="s">
        <v>120</v>
      </c>
      <c r="C35">
        <v>70</v>
      </c>
      <c r="D35">
        <v>4.1471896865317062E-2</v>
      </c>
    </row>
    <row r="36" spans="1:4" x14ac:dyDescent="0.35">
      <c r="A36" t="s">
        <v>87</v>
      </c>
      <c r="B36" t="s">
        <v>121</v>
      </c>
      <c r="C36">
        <v>64</v>
      </c>
      <c r="D36">
        <v>3.791716284828988E-2</v>
      </c>
    </row>
    <row r="37" spans="1:4" x14ac:dyDescent="0.35">
      <c r="A37" t="s">
        <v>87</v>
      </c>
      <c r="B37" t="s">
        <v>122</v>
      </c>
      <c r="C37">
        <v>63</v>
      </c>
      <c r="D37">
        <v>3.7324707178785353E-2</v>
      </c>
    </row>
    <row r="38" spans="1:4" x14ac:dyDescent="0.35">
      <c r="A38" t="s">
        <v>87</v>
      </c>
      <c r="B38" t="s">
        <v>123</v>
      </c>
      <c r="C38">
        <v>58</v>
      </c>
      <c r="D38">
        <v>3.4362428831262698E-2</v>
      </c>
    </row>
    <row r="39" spans="1:4" x14ac:dyDescent="0.35">
      <c r="A39" t="s">
        <v>87</v>
      </c>
      <c r="B39" t="s">
        <v>124</v>
      </c>
      <c r="C39">
        <v>35</v>
      </c>
      <c r="D39">
        <v>2.0735948432658531E-2</v>
      </c>
    </row>
    <row r="40" spans="1:4" x14ac:dyDescent="0.35">
      <c r="A40" t="s">
        <v>87</v>
      </c>
      <c r="B40" t="s">
        <v>125</v>
      </c>
      <c r="C40">
        <v>20</v>
      </c>
      <c r="D40">
        <v>1.184911339009059E-2</v>
      </c>
    </row>
    <row r="41" spans="1:4" x14ac:dyDescent="0.35">
      <c r="A41" t="s">
        <v>87</v>
      </c>
      <c r="B41" t="s">
        <v>126</v>
      </c>
      <c r="C41">
        <v>18</v>
      </c>
      <c r="D41">
        <v>1.0664202051081531E-2</v>
      </c>
    </row>
    <row r="42" spans="1:4" x14ac:dyDescent="0.35">
      <c r="A42" t="s">
        <v>87</v>
      </c>
      <c r="B42" t="s">
        <v>127</v>
      </c>
      <c r="C42">
        <v>4</v>
      </c>
      <c r="D42">
        <v>2.3698226780181179E-3</v>
      </c>
    </row>
    <row r="43" spans="1:4" x14ac:dyDescent="0.35">
      <c r="A43" t="s">
        <v>87</v>
      </c>
      <c r="B43" t="s">
        <v>128</v>
      </c>
      <c r="C43">
        <v>2</v>
      </c>
      <c r="D43">
        <v>1.184911339009059E-3</v>
      </c>
    </row>
    <row r="44" spans="1:4" x14ac:dyDescent="0.35">
      <c r="A44" t="s">
        <v>129</v>
      </c>
      <c r="B44" t="s">
        <v>130</v>
      </c>
      <c r="C44">
        <v>118050</v>
      </c>
      <c r="D44">
        <v>69.93939178500969</v>
      </c>
    </row>
    <row r="45" spans="1:4" x14ac:dyDescent="0.35">
      <c r="A45" t="s">
        <v>129</v>
      </c>
      <c r="B45" t="s">
        <v>131</v>
      </c>
      <c r="C45">
        <v>14509</v>
      </c>
      <c r="D45">
        <v>8.595939308841217</v>
      </c>
    </row>
    <row r="46" spans="1:4" x14ac:dyDescent="0.35">
      <c r="A46" t="s">
        <v>129</v>
      </c>
      <c r="B46" t="s">
        <v>132</v>
      </c>
      <c r="C46">
        <v>2680</v>
      </c>
      <c r="D46">
        <v>1.587781194272138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8"/>
  <sheetViews>
    <sheetView showGridLines="0" workbookViewId="0">
      <selection activeCell="G7" sqref="G7"/>
    </sheetView>
  </sheetViews>
  <sheetFormatPr defaultRowHeight="14.5" x14ac:dyDescent="0.35"/>
  <cols>
    <col min="1" max="1" width="10.1796875" customWidth="1"/>
    <col min="2" max="2" width="14.1796875" customWidth="1"/>
    <col min="3" max="3" width="19.7265625" customWidth="1"/>
    <col min="4" max="4" width="9.1796875" customWidth="1"/>
    <col min="5" max="5" width="59.81640625" customWidth="1"/>
  </cols>
  <sheetData>
    <row r="2" spans="1:5" ht="15.75" customHeight="1" thickBot="1" x14ac:dyDescent="0.4">
      <c r="A2" t="s">
        <v>133</v>
      </c>
      <c r="B2" t="s">
        <v>85</v>
      </c>
      <c r="C2" t="s">
        <v>134</v>
      </c>
      <c r="D2" t="s">
        <v>135</v>
      </c>
    </row>
    <row r="3" spans="1:5" ht="25" customHeight="1" thickTop="1" thickBot="1" x14ac:dyDescent="0.65">
      <c r="A3" s="14">
        <v>2025</v>
      </c>
      <c r="B3" s="24">
        <v>168789</v>
      </c>
    </row>
    <row r="4" spans="1:5" ht="25" customHeight="1" thickTop="1" thickBot="1" x14ac:dyDescent="0.6">
      <c r="A4" s="14">
        <v>2024</v>
      </c>
      <c r="B4" s="25">
        <v>152342</v>
      </c>
      <c r="C4">
        <v>16447</v>
      </c>
      <c r="D4">
        <v>10.7961035039582</v>
      </c>
    </row>
    <row r="5" spans="1:5" ht="25" customHeight="1" thickTop="1" thickBot="1" x14ac:dyDescent="0.55000000000000004">
      <c r="A5" s="14">
        <v>2023</v>
      </c>
      <c r="B5" s="13">
        <v>114041</v>
      </c>
      <c r="C5">
        <v>54748</v>
      </c>
      <c r="D5">
        <v>48.007295621750067</v>
      </c>
    </row>
    <row r="6" spans="1:5" ht="15.75" customHeight="1" thickTop="1" x14ac:dyDescent="0.35">
      <c r="A6">
        <v>2022</v>
      </c>
      <c r="B6" s="12">
        <v>55550</v>
      </c>
      <c r="C6">
        <v>113239</v>
      </c>
      <c r="D6">
        <v>203.85058505850591</v>
      </c>
    </row>
    <row r="8" spans="1:5" ht="15.5" x14ac:dyDescent="0.35">
      <c r="E8" s="26" t="str">
        <f>"FastPark Transactions " &amp; IF(D4&gt;=0, "grew by ", " decreased by ") &amp; TEXT(ABS(D4/100), "0.00%") &amp; " between " &amp; TEXT(A4, 0) &amp; " and " &amp; TEXT(A3, 0)</f>
        <v>FastPark Transactions grew by 10.80% between 2024 and 2025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abSelected="1" workbookViewId="0">
      <selection activeCell="Q4" sqref="Q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 Movements</vt:lpstr>
      <vt:lpstr>Summary</vt:lpstr>
      <vt:lpstr>Entry Exit Distribution</vt:lpstr>
      <vt:lpstr>Length of Stay</vt:lpstr>
      <vt:lpstr>Flight Info</vt:lpstr>
      <vt:lpstr>Transaction Growth</vt:lpstr>
      <vt:lpstr>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Jamie Douglas</cp:lastModifiedBy>
  <cp:revision/>
  <dcterms:created xsi:type="dcterms:W3CDTF">2026-03-11T13:22:11Z</dcterms:created>
  <dcterms:modified xsi:type="dcterms:W3CDTF">2026-04-30T09:19:23Z</dcterms:modified>
  <cp:category/>
  <cp:contentStatus/>
</cp:coreProperties>
</file>