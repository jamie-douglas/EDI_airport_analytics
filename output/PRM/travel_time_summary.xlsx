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onyx4-my.sharepoint.com/personal/jamie_douglas_edinburghairport_com/Documents/Documents/GitHub/EDI_airport_analytics/output/PRM/"/>
    </mc:Choice>
  </mc:AlternateContent>
  <xr:revisionPtr revIDLastSave="30" documentId="11_7F7FB8E10EA1E7A32DFB8F3CABBC7E35E36EE14B" xr6:coauthVersionLast="47" xr6:coauthVersionMax="47" xr10:uidLastSave="{3AF5C886-4ABB-4409-95ED-FEBE34ACB2D1}"/>
  <bookViews>
    <workbookView xWindow="-10830" yWindow="-21720" windowWidth="51840" windowHeight="21120" activeTab="2" xr2:uid="{00000000-000D-0000-FFFF-FFFF00000000}"/>
  </bookViews>
  <sheets>
    <sheet name="Ambulift Travel Times" sheetId="1" r:id="rId1"/>
    <sheet name="Minibus Travel Times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7" i="3" l="1"/>
  <c r="C47" i="3"/>
  <c r="D47" i="3"/>
  <c r="E47" i="3"/>
  <c r="B48" i="3"/>
  <c r="C48" i="3"/>
  <c r="D48" i="3"/>
  <c r="E48" i="3"/>
  <c r="B49" i="3"/>
  <c r="C49" i="3"/>
  <c r="D49" i="3"/>
  <c r="E49" i="3"/>
  <c r="B50" i="3"/>
  <c r="C50" i="3"/>
  <c r="D50" i="3"/>
  <c r="E50" i="3"/>
  <c r="B51" i="3"/>
  <c r="C51" i="3"/>
  <c r="D51" i="3"/>
  <c r="E51" i="3"/>
  <c r="B52" i="3"/>
  <c r="C52" i="3"/>
  <c r="D52" i="3"/>
  <c r="E52" i="3"/>
  <c r="B35" i="3"/>
  <c r="C35" i="3"/>
  <c r="D35" i="3"/>
  <c r="E35" i="3"/>
  <c r="B36" i="3"/>
  <c r="C36" i="3"/>
  <c r="D36" i="3"/>
  <c r="E36" i="3"/>
  <c r="B37" i="3"/>
  <c r="C37" i="3"/>
  <c r="D37" i="3"/>
  <c r="E37" i="3"/>
  <c r="B38" i="3"/>
  <c r="C38" i="3"/>
  <c r="D38" i="3"/>
  <c r="E38" i="3"/>
  <c r="B39" i="3"/>
  <c r="C39" i="3"/>
  <c r="D39" i="3"/>
  <c r="E39" i="3"/>
  <c r="B40" i="3"/>
  <c r="C40" i="3"/>
  <c r="D40" i="3"/>
  <c r="E40" i="3"/>
  <c r="B41" i="3"/>
  <c r="C41" i="3"/>
  <c r="D41" i="3"/>
  <c r="E41" i="3"/>
  <c r="B42" i="3"/>
  <c r="C42" i="3"/>
  <c r="D42" i="3"/>
  <c r="E42" i="3"/>
  <c r="B43" i="3"/>
  <c r="C43" i="3"/>
  <c r="D43" i="3"/>
  <c r="E43" i="3"/>
  <c r="B44" i="3"/>
  <c r="C44" i="3"/>
  <c r="D44" i="3"/>
  <c r="E44" i="3"/>
  <c r="B45" i="3"/>
  <c r="C45" i="3"/>
  <c r="D45" i="3"/>
  <c r="E45" i="3"/>
  <c r="B46" i="3"/>
  <c r="C46" i="3"/>
  <c r="D46" i="3"/>
  <c r="E46" i="3"/>
  <c r="B20" i="3"/>
  <c r="C20" i="3"/>
  <c r="D20" i="3"/>
  <c r="E20" i="3"/>
  <c r="B21" i="3"/>
  <c r="C21" i="3"/>
  <c r="D21" i="3"/>
  <c r="E21" i="3"/>
  <c r="B22" i="3"/>
  <c r="C22" i="3"/>
  <c r="D22" i="3"/>
  <c r="E22" i="3"/>
  <c r="B23" i="3"/>
  <c r="C23" i="3"/>
  <c r="D23" i="3"/>
  <c r="E23" i="3"/>
  <c r="B24" i="3"/>
  <c r="C24" i="3"/>
  <c r="D24" i="3"/>
  <c r="E24" i="3"/>
  <c r="B25" i="3"/>
  <c r="C25" i="3"/>
  <c r="D25" i="3"/>
  <c r="E25" i="3"/>
  <c r="B26" i="3"/>
  <c r="C26" i="3"/>
  <c r="D26" i="3"/>
  <c r="E26" i="3"/>
  <c r="B27" i="3"/>
  <c r="C27" i="3"/>
  <c r="D27" i="3"/>
  <c r="E27" i="3"/>
  <c r="B28" i="3"/>
  <c r="C28" i="3"/>
  <c r="D28" i="3"/>
  <c r="E28" i="3"/>
  <c r="B29" i="3"/>
  <c r="C29" i="3"/>
  <c r="D29" i="3"/>
  <c r="E29" i="3"/>
  <c r="B30" i="3"/>
  <c r="C30" i="3"/>
  <c r="D30" i="3"/>
  <c r="E30" i="3"/>
  <c r="B31" i="3"/>
  <c r="C31" i="3"/>
  <c r="D31" i="3"/>
  <c r="E31" i="3"/>
  <c r="B32" i="3"/>
  <c r="C32" i="3"/>
  <c r="D32" i="3"/>
  <c r="E32" i="3"/>
  <c r="B33" i="3"/>
  <c r="C33" i="3"/>
  <c r="D33" i="3"/>
  <c r="E33" i="3"/>
  <c r="B34" i="3"/>
  <c r="C34" i="3"/>
  <c r="D34" i="3"/>
  <c r="E34" i="3"/>
  <c r="B3" i="3"/>
  <c r="C3" i="3"/>
  <c r="D3" i="3"/>
  <c r="E3" i="3"/>
  <c r="B4" i="3"/>
  <c r="C4" i="3"/>
  <c r="D4" i="3"/>
  <c r="E4" i="3"/>
  <c r="B5" i="3"/>
  <c r="C5" i="3"/>
  <c r="D5" i="3"/>
  <c r="E5" i="3"/>
  <c r="B6" i="3"/>
  <c r="C6" i="3"/>
  <c r="D6" i="3"/>
  <c r="E6" i="3"/>
  <c r="B7" i="3"/>
  <c r="C7" i="3"/>
  <c r="D7" i="3"/>
  <c r="E7" i="3"/>
  <c r="B8" i="3"/>
  <c r="C8" i="3"/>
  <c r="D8" i="3"/>
  <c r="E8" i="3"/>
  <c r="B9" i="3"/>
  <c r="C9" i="3"/>
  <c r="D9" i="3"/>
  <c r="E9" i="3"/>
  <c r="B10" i="3"/>
  <c r="C10" i="3"/>
  <c r="D10" i="3"/>
  <c r="E10" i="3"/>
  <c r="B11" i="3"/>
  <c r="C11" i="3"/>
  <c r="D11" i="3"/>
  <c r="E11" i="3"/>
  <c r="B12" i="3"/>
  <c r="C12" i="3"/>
  <c r="D12" i="3"/>
  <c r="E12" i="3"/>
  <c r="B13" i="3"/>
  <c r="C13" i="3"/>
  <c r="D13" i="3"/>
  <c r="E13" i="3"/>
  <c r="B14" i="3"/>
  <c r="C14" i="3"/>
  <c r="D14" i="3"/>
  <c r="E14" i="3"/>
  <c r="B15" i="3"/>
  <c r="C15" i="3"/>
  <c r="D15" i="3"/>
  <c r="E15" i="3"/>
  <c r="B16" i="3"/>
  <c r="C16" i="3"/>
  <c r="D16" i="3"/>
  <c r="E16" i="3"/>
  <c r="B17" i="3"/>
  <c r="C17" i="3"/>
  <c r="D17" i="3"/>
  <c r="E17" i="3"/>
  <c r="B18" i="3"/>
  <c r="C18" i="3"/>
  <c r="D18" i="3"/>
  <c r="E18" i="3"/>
  <c r="B19" i="3"/>
  <c r="C19" i="3"/>
  <c r="D19" i="3"/>
  <c r="E19" i="3"/>
  <c r="C2" i="3"/>
  <c r="D2" i="3"/>
  <c r="E2" i="3"/>
  <c r="B2" i="3"/>
</calcChain>
</file>

<file path=xl/sharedStrings.xml><?xml version="1.0" encoding="utf-8"?>
<sst xmlns="http://schemas.openxmlformats.org/spreadsheetml/2006/main" count="160" uniqueCount="60">
  <si>
    <t>StandCode</t>
  </si>
  <si>
    <t>CTA Doors</t>
  </si>
  <si>
    <t>Dom Arr Doors</t>
  </si>
  <si>
    <t>IA1 Doors</t>
  </si>
  <si>
    <t>IA2 Doors</t>
  </si>
  <si>
    <t>1</t>
  </si>
  <si>
    <t>10</t>
  </si>
  <si>
    <t>100</t>
  </si>
  <si>
    <t>102</t>
  </si>
  <si>
    <t>103</t>
  </si>
  <si>
    <t>104</t>
  </si>
  <si>
    <t>105</t>
  </si>
  <si>
    <t>106</t>
  </si>
  <si>
    <t>11</t>
  </si>
  <si>
    <t>12</t>
  </si>
  <si>
    <t>14</t>
  </si>
  <si>
    <t>15</t>
  </si>
  <si>
    <t>15A</t>
  </si>
  <si>
    <t>15B</t>
  </si>
  <si>
    <t>16</t>
  </si>
  <si>
    <t>16A</t>
  </si>
  <si>
    <t>16B</t>
  </si>
  <si>
    <t>17</t>
  </si>
  <si>
    <t>18</t>
  </si>
  <si>
    <t>1A</t>
  </si>
  <si>
    <t>1B</t>
  </si>
  <si>
    <t>2</t>
  </si>
  <si>
    <t>20</t>
  </si>
  <si>
    <t>22</t>
  </si>
  <si>
    <t>24</t>
  </si>
  <si>
    <t>25</t>
  </si>
  <si>
    <t>27</t>
  </si>
  <si>
    <t>28</t>
  </si>
  <si>
    <t>29</t>
  </si>
  <si>
    <t>3</t>
  </si>
  <si>
    <t>30</t>
  </si>
  <si>
    <t>308</t>
  </si>
  <si>
    <t>309</t>
  </si>
  <si>
    <t>31</t>
  </si>
  <si>
    <t>310</t>
  </si>
  <si>
    <t>311</t>
  </si>
  <si>
    <t>312</t>
  </si>
  <si>
    <t>313</t>
  </si>
  <si>
    <t>314</t>
  </si>
  <si>
    <t>315</t>
  </si>
  <si>
    <t>316</t>
  </si>
  <si>
    <t>317A</t>
  </si>
  <si>
    <t>32</t>
  </si>
  <si>
    <t>33</t>
  </si>
  <si>
    <t>4</t>
  </si>
  <si>
    <t>5</t>
  </si>
  <si>
    <t>6</t>
  </si>
  <si>
    <t>7</t>
  </si>
  <si>
    <t>8</t>
  </si>
  <si>
    <t>9</t>
  </si>
  <si>
    <t>19</t>
  </si>
  <si>
    <t>N/A</t>
  </si>
  <si>
    <t>Both</t>
  </si>
  <si>
    <t>Ambulift only</t>
  </si>
  <si>
    <t>Minibus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</si>
</sst>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3" borderId="0" xfId="0" applyFill="1"/>
    <xf numFmtId="0" fontId="0" fillId="4" borderId="0" xfId="0" applyFill="1"/>
    <xf numFmtId="0" fontId="0" fillId="2" borderId="0" xfId="0" applyFill="1"/>
  </cellXfs>
  <cellStyles count="1">
    <cellStyle name="Normal" xfId="0" builtinId="0"/>
  </cellStyles>
  <dxfs count="3"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"/>
  <sheetViews>
    <sheetView workbookViewId="0">
      <selection activeCell="A3" sqref="A3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56</v>
      </c>
      <c r="B2">
        <v>20.149999999999999</v>
      </c>
      <c r="D2">
        <v>8.8699999999999992</v>
      </c>
      <c r="E2">
        <v>17.54</v>
      </c>
    </row>
    <row r="3" spans="1:5" x14ac:dyDescent="0.35">
      <c r="A3" t="s">
        <v>5</v>
      </c>
      <c r="B3">
        <v>16.059999999999999</v>
      </c>
      <c r="D3">
        <v>21.55</v>
      </c>
      <c r="E3">
        <v>34.619999999999997</v>
      </c>
    </row>
    <row r="4" spans="1:5" x14ac:dyDescent="0.35">
      <c r="A4" t="s">
        <v>6</v>
      </c>
      <c r="C4">
        <v>13.73</v>
      </c>
      <c r="D4">
        <v>9.8699999999999992</v>
      </c>
      <c r="E4">
        <v>19.98</v>
      </c>
    </row>
    <row r="5" spans="1:5" x14ac:dyDescent="0.35">
      <c r="A5" t="s">
        <v>7</v>
      </c>
      <c r="B5">
        <v>32.43</v>
      </c>
      <c r="D5">
        <v>30.85</v>
      </c>
      <c r="E5">
        <v>20.8</v>
      </c>
    </row>
    <row r="6" spans="1:5" x14ac:dyDescent="0.35">
      <c r="A6" t="s">
        <v>8</v>
      </c>
      <c r="D6">
        <v>20.8</v>
      </c>
      <c r="E6">
        <v>11.95</v>
      </c>
    </row>
    <row r="7" spans="1:5" x14ac:dyDescent="0.35">
      <c r="A7" t="s">
        <v>9</v>
      </c>
      <c r="C7">
        <v>9.9</v>
      </c>
      <c r="D7">
        <v>19.93</v>
      </c>
      <c r="E7">
        <v>24.95</v>
      </c>
    </row>
    <row r="8" spans="1:5" x14ac:dyDescent="0.35">
      <c r="A8" t="s">
        <v>10</v>
      </c>
      <c r="D8">
        <v>40.07</v>
      </c>
      <c r="E8">
        <v>27.06</v>
      </c>
    </row>
    <row r="9" spans="1:5" x14ac:dyDescent="0.35">
      <c r="A9" t="s">
        <v>11</v>
      </c>
      <c r="D9">
        <v>12.95</v>
      </c>
      <c r="E9">
        <v>12.22</v>
      </c>
    </row>
    <row r="10" spans="1:5" x14ac:dyDescent="0.35">
      <c r="A10" t="s">
        <v>12</v>
      </c>
      <c r="C10">
        <v>42.02</v>
      </c>
      <c r="D10">
        <v>11.36</v>
      </c>
      <c r="E10">
        <v>13.21</v>
      </c>
    </row>
    <row r="11" spans="1:5" x14ac:dyDescent="0.35">
      <c r="A11" t="s">
        <v>13</v>
      </c>
      <c r="D11">
        <v>29.53</v>
      </c>
      <c r="E11">
        <v>17.600000000000001</v>
      </c>
    </row>
    <row r="12" spans="1:5" x14ac:dyDescent="0.35">
      <c r="A12" t="s">
        <v>14</v>
      </c>
      <c r="E12">
        <v>38.14</v>
      </c>
    </row>
    <row r="13" spans="1:5" x14ac:dyDescent="0.35">
      <c r="A13" t="s">
        <v>15</v>
      </c>
      <c r="E13">
        <v>21.63</v>
      </c>
    </row>
    <row r="14" spans="1:5" x14ac:dyDescent="0.35">
      <c r="A14" t="s">
        <v>16</v>
      </c>
      <c r="E14">
        <v>31.7</v>
      </c>
    </row>
    <row r="15" spans="1:5" x14ac:dyDescent="0.35">
      <c r="A15" t="s">
        <v>17</v>
      </c>
      <c r="C15">
        <v>5.54</v>
      </c>
      <c r="D15">
        <v>12.39</v>
      </c>
      <c r="E15">
        <v>20.71</v>
      </c>
    </row>
    <row r="16" spans="1:5" x14ac:dyDescent="0.35">
      <c r="A16" t="s">
        <v>18</v>
      </c>
      <c r="B16">
        <v>26.48</v>
      </c>
      <c r="C16">
        <v>16.43</v>
      </c>
      <c r="D16">
        <v>23.02</v>
      </c>
      <c r="E16">
        <v>24.01</v>
      </c>
    </row>
    <row r="17" spans="1:5" x14ac:dyDescent="0.35">
      <c r="A17" t="s">
        <v>19</v>
      </c>
      <c r="E17">
        <v>12.91</v>
      </c>
    </row>
    <row r="18" spans="1:5" x14ac:dyDescent="0.35">
      <c r="A18" t="s">
        <v>20</v>
      </c>
      <c r="C18">
        <v>24.22</v>
      </c>
      <c r="D18">
        <v>13.22</v>
      </c>
      <c r="E18">
        <v>19.48</v>
      </c>
    </row>
    <row r="19" spans="1:5" x14ac:dyDescent="0.35">
      <c r="A19" t="s">
        <v>21</v>
      </c>
      <c r="E19">
        <v>17.3</v>
      </c>
    </row>
    <row r="20" spans="1:5" x14ac:dyDescent="0.35">
      <c r="A20" t="s">
        <v>22</v>
      </c>
      <c r="C20">
        <v>20.67</v>
      </c>
      <c r="D20">
        <v>39.450000000000003</v>
      </c>
      <c r="E20">
        <v>20.38</v>
      </c>
    </row>
    <row r="21" spans="1:5" x14ac:dyDescent="0.35">
      <c r="A21" t="s">
        <v>23</v>
      </c>
      <c r="E21">
        <v>20.52</v>
      </c>
    </row>
    <row r="22" spans="1:5" x14ac:dyDescent="0.35">
      <c r="A22" t="s">
        <v>24</v>
      </c>
      <c r="B22">
        <v>16.78</v>
      </c>
      <c r="C22">
        <v>16</v>
      </c>
      <c r="D22">
        <v>20.260000000000002</v>
      </c>
      <c r="E22">
        <v>22.79</v>
      </c>
    </row>
    <row r="23" spans="1:5" x14ac:dyDescent="0.35">
      <c r="A23" t="s">
        <v>25</v>
      </c>
      <c r="B23">
        <v>16.149999999999999</v>
      </c>
      <c r="C23">
        <v>28.78</v>
      </c>
      <c r="D23">
        <v>23.01</v>
      </c>
      <c r="E23">
        <v>30.44</v>
      </c>
    </row>
    <row r="24" spans="1:5" x14ac:dyDescent="0.35">
      <c r="A24" t="s">
        <v>26</v>
      </c>
      <c r="B24">
        <v>9.52</v>
      </c>
      <c r="C24">
        <v>12</v>
      </c>
      <c r="D24">
        <v>15.48</v>
      </c>
      <c r="E24">
        <v>14</v>
      </c>
    </row>
    <row r="25" spans="1:5" x14ac:dyDescent="0.35">
      <c r="A25" t="s">
        <v>27</v>
      </c>
      <c r="B25">
        <v>15.86</v>
      </c>
      <c r="C25">
        <v>11.75</v>
      </c>
      <c r="E25">
        <v>23.14</v>
      </c>
    </row>
    <row r="26" spans="1:5" x14ac:dyDescent="0.35">
      <c r="A26" t="s">
        <v>28</v>
      </c>
      <c r="C26">
        <v>16.88</v>
      </c>
      <c r="E26">
        <v>16.82</v>
      </c>
    </row>
    <row r="27" spans="1:5" x14ac:dyDescent="0.35">
      <c r="A27" t="s">
        <v>29</v>
      </c>
      <c r="B27">
        <v>5.36</v>
      </c>
      <c r="C27">
        <v>12.95</v>
      </c>
      <c r="E27">
        <v>20.86</v>
      </c>
    </row>
    <row r="28" spans="1:5" x14ac:dyDescent="0.35">
      <c r="A28" t="s">
        <v>30</v>
      </c>
      <c r="B28">
        <v>31.39</v>
      </c>
      <c r="E28">
        <v>16.38</v>
      </c>
    </row>
    <row r="29" spans="1:5" x14ac:dyDescent="0.35">
      <c r="A29" t="s">
        <v>31</v>
      </c>
      <c r="E29">
        <v>13.82</v>
      </c>
    </row>
    <row r="30" spans="1:5" x14ac:dyDescent="0.35">
      <c r="A30" t="s">
        <v>32</v>
      </c>
      <c r="B30">
        <v>11.48</v>
      </c>
      <c r="E30">
        <v>26.71</v>
      </c>
    </row>
    <row r="31" spans="1:5" x14ac:dyDescent="0.35">
      <c r="A31" t="s">
        <v>33</v>
      </c>
      <c r="B31">
        <v>18.72</v>
      </c>
      <c r="E31">
        <v>8.49</v>
      </c>
    </row>
    <row r="32" spans="1:5" x14ac:dyDescent="0.35">
      <c r="A32" t="s">
        <v>34</v>
      </c>
      <c r="B32">
        <v>1.67</v>
      </c>
      <c r="C32">
        <v>33.67</v>
      </c>
      <c r="D32">
        <v>16.600000000000001</v>
      </c>
      <c r="E32">
        <v>10.36</v>
      </c>
    </row>
    <row r="33" spans="1:5" x14ac:dyDescent="0.35">
      <c r="A33" t="s">
        <v>35</v>
      </c>
      <c r="E33">
        <v>26.87</v>
      </c>
    </row>
    <row r="34" spans="1:5" x14ac:dyDescent="0.35">
      <c r="A34" t="s">
        <v>36</v>
      </c>
      <c r="B34">
        <v>26.37</v>
      </c>
      <c r="D34">
        <v>16.68</v>
      </c>
      <c r="E34">
        <v>21.63</v>
      </c>
    </row>
    <row r="35" spans="1:5" x14ac:dyDescent="0.35">
      <c r="A35" t="s">
        <v>37</v>
      </c>
      <c r="B35">
        <v>17.670000000000002</v>
      </c>
      <c r="D35">
        <v>9.1199999999999992</v>
      </c>
      <c r="E35">
        <v>30.93</v>
      </c>
    </row>
    <row r="36" spans="1:5" x14ac:dyDescent="0.35">
      <c r="A36" t="s">
        <v>38</v>
      </c>
      <c r="C36">
        <v>22.42</v>
      </c>
      <c r="E36">
        <v>16.510000000000002</v>
      </c>
    </row>
    <row r="37" spans="1:5" x14ac:dyDescent="0.35">
      <c r="A37" t="s">
        <v>39</v>
      </c>
      <c r="C37">
        <v>24.67</v>
      </c>
      <c r="E37">
        <v>19.95</v>
      </c>
    </row>
    <row r="38" spans="1:5" x14ac:dyDescent="0.35">
      <c r="A38" t="s">
        <v>40</v>
      </c>
      <c r="B38">
        <v>49.17</v>
      </c>
      <c r="E38">
        <v>17.989999999999998</v>
      </c>
    </row>
    <row r="39" spans="1:5" x14ac:dyDescent="0.35">
      <c r="A39" t="s">
        <v>41</v>
      </c>
      <c r="B39">
        <v>39.17</v>
      </c>
      <c r="D39">
        <v>10.89</v>
      </c>
      <c r="E39">
        <v>15.35</v>
      </c>
    </row>
    <row r="40" spans="1:5" x14ac:dyDescent="0.35">
      <c r="A40" t="s">
        <v>42</v>
      </c>
      <c r="D40">
        <v>67.45</v>
      </c>
      <c r="E40">
        <v>36.06</v>
      </c>
    </row>
    <row r="41" spans="1:5" x14ac:dyDescent="0.35">
      <c r="A41" t="s">
        <v>43</v>
      </c>
      <c r="C41">
        <v>18.579999999999998</v>
      </c>
      <c r="E41">
        <v>24.12</v>
      </c>
    </row>
    <row r="42" spans="1:5" x14ac:dyDescent="0.35">
      <c r="A42" t="s">
        <v>44</v>
      </c>
      <c r="C42">
        <v>65.2</v>
      </c>
      <c r="E42">
        <v>40.119999999999997</v>
      </c>
    </row>
    <row r="43" spans="1:5" x14ac:dyDescent="0.35">
      <c r="A43" t="s">
        <v>45</v>
      </c>
      <c r="E43">
        <v>21.75</v>
      </c>
    </row>
    <row r="44" spans="1:5" x14ac:dyDescent="0.35">
      <c r="A44" t="s">
        <v>46</v>
      </c>
      <c r="E44">
        <v>23.03</v>
      </c>
    </row>
    <row r="45" spans="1:5" x14ac:dyDescent="0.35">
      <c r="A45" t="s">
        <v>47</v>
      </c>
      <c r="C45">
        <v>4.59</v>
      </c>
    </row>
    <row r="46" spans="1:5" x14ac:dyDescent="0.35">
      <c r="A46" t="s">
        <v>48</v>
      </c>
      <c r="B46">
        <v>15.45</v>
      </c>
      <c r="C46">
        <v>14.5</v>
      </c>
      <c r="E46">
        <v>20.260000000000002</v>
      </c>
    </row>
    <row r="47" spans="1:5" x14ac:dyDescent="0.35">
      <c r="A47" t="s">
        <v>49</v>
      </c>
      <c r="C47">
        <v>28.49</v>
      </c>
      <c r="D47">
        <v>16.010000000000002</v>
      </c>
      <c r="E47">
        <v>16.88</v>
      </c>
    </row>
    <row r="48" spans="1:5" x14ac:dyDescent="0.35">
      <c r="A48" t="s">
        <v>50</v>
      </c>
      <c r="C48">
        <v>3.55</v>
      </c>
    </row>
    <row r="49" spans="1:5" x14ac:dyDescent="0.35">
      <c r="A49" t="s">
        <v>51</v>
      </c>
      <c r="B49">
        <v>23.97</v>
      </c>
      <c r="C49">
        <v>46.73</v>
      </c>
      <c r="D49">
        <v>21.72</v>
      </c>
      <c r="E49">
        <v>19.88</v>
      </c>
    </row>
    <row r="50" spans="1:5" x14ac:dyDescent="0.35">
      <c r="A50" t="s">
        <v>52</v>
      </c>
      <c r="C50">
        <v>64.099999999999994</v>
      </c>
      <c r="D50">
        <v>16.579999999999998</v>
      </c>
    </row>
    <row r="51" spans="1:5" x14ac:dyDescent="0.35">
      <c r="A51" t="s">
        <v>53</v>
      </c>
      <c r="B51">
        <v>17.82</v>
      </c>
      <c r="C51">
        <v>71.069999999999993</v>
      </c>
      <c r="D51">
        <v>20.28</v>
      </c>
      <c r="E51">
        <v>13.01</v>
      </c>
    </row>
    <row r="52" spans="1:5" x14ac:dyDescent="0.35">
      <c r="A52" t="s">
        <v>54</v>
      </c>
      <c r="C52">
        <v>14.73</v>
      </c>
      <c r="D52">
        <v>29.72</v>
      </c>
      <c r="E52">
        <v>25.71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2"/>
  <sheetViews>
    <sheetView workbookViewId="0">
      <selection activeCell="A3" sqref="A3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56</v>
      </c>
      <c r="D2">
        <v>4.63</v>
      </c>
      <c r="E2">
        <v>12.23</v>
      </c>
    </row>
    <row r="3" spans="1:5" x14ac:dyDescent="0.35">
      <c r="A3" t="s">
        <v>5</v>
      </c>
      <c r="C3">
        <v>21.57</v>
      </c>
    </row>
    <row r="4" spans="1:5" x14ac:dyDescent="0.35">
      <c r="A4" t="s">
        <v>6</v>
      </c>
      <c r="E4">
        <v>12.83</v>
      </c>
    </row>
    <row r="5" spans="1:5" x14ac:dyDescent="0.35">
      <c r="A5" t="s">
        <v>7</v>
      </c>
      <c r="E5">
        <v>17.43</v>
      </c>
    </row>
    <row r="6" spans="1:5" x14ac:dyDescent="0.35">
      <c r="A6" t="s">
        <v>8</v>
      </c>
      <c r="C6">
        <v>10.88</v>
      </c>
      <c r="E6">
        <v>10.73</v>
      </c>
    </row>
    <row r="7" spans="1:5" x14ac:dyDescent="0.35">
      <c r="A7" t="s">
        <v>9</v>
      </c>
      <c r="E7">
        <v>12.8</v>
      </c>
    </row>
    <row r="8" spans="1:5" x14ac:dyDescent="0.35">
      <c r="A8" t="s">
        <v>10</v>
      </c>
      <c r="E8">
        <v>7.48</v>
      </c>
    </row>
    <row r="9" spans="1:5" x14ac:dyDescent="0.35">
      <c r="A9" t="s">
        <v>12</v>
      </c>
      <c r="E9">
        <v>24.72</v>
      </c>
    </row>
    <row r="10" spans="1:5" x14ac:dyDescent="0.35">
      <c r="A10" t="s">
        <v>13</v>
      </c>
      <c r="E10">
        <v>3.83</v>
      </c>
    </row>
    <row r="11" spans="1:5" x14ac:dyDescent="0.35">
      <c r="A11" t="s">
        <v>15</v>
      </c>
      <c r="E11">
        <v>16.149999999999999</v>
      </c>
    </row>
    <row r="12" spans="1:5" x14ac:dyDescent="0.35">
      <c r="A12" t="s">
        <v>17</v>
      </c>
      <c r="D12">
        <v>12.92</v>
      </c>
      <c r="E12">
        <v>8.77</v>
      </c>
    </row>
    <row r="13" spans="1:5" x14ac:dyDescent="0.35">
      <c r="A13" t="s">
        <v>18</v>
      </c>
      <c r="E13">
        <v>9.36</v>
      </c>
    </row>
    <row r="14" spans="1:5" x14ac:dyDescent="0.35">
      <c r="A14" t="s">
        <v>20</v>
      </c>
      <c r="E14">
        <v>17.64</v>
      </c>
    </row>
    <row r="15" spans="1:5" x14ac:dyDescent="0.35">
      <c r="A15" t="s">
        <v>21</v>
      </c>
      <c r="E15">
        <v>10.41</v>
      </c>
    </row>
    <row r="16" spans="1:5" x14ac:dyDescent="0.35">
      <c r="A16" t="s">
        <v>22</v>
      </c>
      <c r="C16">
        <v>3.75</v>
      </c>
      <c r="E16">
        <v>8.31</v>
      </c>
    </row>
    <row r="17" spans="1:5" x14ac:dyDescent="0.35">
      <c r="A17" t="s">
        <v>55</v>
      </c>
      <c r="D17">
        <v>19.43</v>
      </c>
    </row>
    <row r="18" spans="1:5" x14ac:dyDescent="0.35">
      <c r="A18" t="s">
        <v>24</v>
      </c>
      <c r="B18">
        <v>7.5</v>
      </c>
      <c r="D18">
        <v>4.6900000000000004</v>
      </c>
    </row>
    <row r="19" spans="1:5" x14ac:dyDescent="0.35">
      <c r="A19" t="s">
        <v>25</v>
      </c>
      <c r="B19">
        <v>9.82</v>
      </c>
    </row>
    <row r="20" spans="1:5" x14ac:dyDescent="0.35">
      <c r="A20" t="s">
        <v>26</v>
      </c>
      <c r="E20">
        <v>9.9</v>
      </c>
    </row>
    <row r="21" spans="1:5" x14ac:dyDescent="0.35">
      <c r="A21" t="s">
        <v>27</v>
      </c>
      <c r="C21">
        <v>7.03</v>
      </c>
      <c r="E21">
        <v>20.2</v>
      </c>
    </row>
    <row r="22" spans="1:5" x14ac:dyDescent="0.35">
      <c r="A22" t="s">
        <v>28</v>
      </c>
      <c r="B22">
        <v>8.1</v>
      </c>
      <c r="E22">
        <v>11.42</v>
      </c>
    </row>
    <row r="23" spans="1:5" x14ac:dyDescent="0.35">
      <c r="A23" t="s">
        <v>29</v>
      </c>
      <c r="B23">
        <v>13.56</v>
      </c>
      <c r="C23">
        <v>3.28</v>
      </c>
      <c r="E23">
        <v>19.45</v>
      </c>
    </row>
    <row r="24" spans="1:5" x14ac:dyDescent="0.35">
      <c r="A24" t="s">
        <v>30</v>
      </c>
      <c r="E24">
        <v>7.51</v>
      </c>
    </row>
    <row r="25" spans="1:5" x14ac:dyDescent="0.35">
      <c r="A25" t="s">
        <v>31</v>
      </c>
      <c r="B25">
        <v>15.98</v>
      </c>
    </row>
    <row r="26" spans="1:5" x14ac:dyDescent="0.35">
      <c r="A26" t="s">
        <v>33</v>
      </c>
      <c r="E26">
        <v>29.9</v>
      </c>
    </row>
    <row r="27" spans="1:5" x14ac:dyDescent="0.35">
      <c r="A27" t="s">
        <v>34</v>
      </c>
      <c r="D27">
        <v>7.47</v>
      </c>
      <c r="E27">
        <v>15.84</v>
      </c>
    </row>
    <row r="28" spans="1:5" x14ac:dyDescent="0.35">
      <c r="A28" t="s">
        <v>35</v>
      </c>
      <c r="E28">
        <v>10.44</v>
      </c>
    </row>
    <row r="29" spans="1:5" x14ac:dyDescent="0.35">
      <c r="A29" t="s">
        <v>36</v>
      </c>
      <c r="B29">
        <v>13.95</v>
      </c>
      <c r="E29">
        <v>18.420000000000002</v>
      </c>
    </row>
    <row r="30" spans="1:5" x14ac:dyDescent="0.35">
      <c r="A30" t="s">
        <v>37</v>
      </c>
      <c r="E30">
        <v>21.48</v>
      </c>
    </row>
    <row r="31" spans="1:5" x14ac:dyDescent="0.35">
      <c r="A31" t="s">
        <v>38</v>
      </c>
      <c r="E31">
        <v>10.99</v>
      </c>
    </row>
    <row r="32" spans="1:5" x14ac:dyDescent="0.35">
      <c r="A32" t="s">
        <v>39</v>
      </c>
      <c r="E32">
        <v>30.08</v>
      </c>
    </row>
    <row r="33" spans="1:5" x14ac:dyDescent="0.35">
      <c r="A33" t="s">
        <v>40</v>
      </c>
      <c r="E33">
        <v>15.41</v>
      </c>
    </row>
    <row r="34" spans="1:5" x14ac:dyDescent="0.35">
      <c r="A34" t="s">
        <v>41</v>
      </c>
      <c r="D34">
        <v>1.63</v>
      </c>
      <c r="E34">
        <v>12.48</v>
      </c>
    </row>
    <row r="35" spans="1:5" x14ac:dyDescent="0.35">
      <c r="A35" t="s">
        <v>47</v>
      </c>
      <c r="C35">
        <v>11.19</v>
      </c>
    </row>
    <row r="36" spans="1:5" x14ac:dyDescent="0.35">
      <c r="A36" t="s">
        <v>48</v>
      </c>
      <c r="E36">
        <v>12.72</v>
      </c>
    </row>
    <row r="37" spans="1:5" x14ac:dyDescent="0.35">
      <c r="A37" t="s">
        <v>49</v>
      </c>
      <c r="C37">
        <v>9.1999999999999993</v>
      </c>
      <c r="D37">
        <v>5.73</v>
      </c>
    </row>
    <row r="38" spans="1:5" x14ac:dyDescent="0.35">
      <c r="A38" t="s">
        <v>50</v>
      </c>
      <c r="B38">
        <v>9.1199999999999992</v>
      </c>
    </row>
    <row r="39" spans="1:5" x14ac:dyDescent="0.35">
      <c r="A39" t="s">
        <v>51</v>
      </c>
      <c r="D39">
        <v>6.93</v>
      </c>
      <c r="E39">
        <v>11.13</v>
      </c>
    </row>
    <row r="40" spans="1:5" x14ac:dyDescent="0.35">
      <c r="A40" t="s">
        <v>52</v>
      </c>
      <c r="B40">
        <v>8.73</v>
      </c>
      <c r="D40">
        <v>12.84</v>
      </c>
    </row>
    <row r="41" spans="1:5" x14ac:dyDescent="0.35">
      <c r="A41" t="s">
        <v>53</v>
      </c>
      <c r="B41">
        <v>0.27</v>
      </c>
      <c r="D41">
        <v>11.4</v>
      </c>
      <c r="E41">
        <v>22.1</v>
      </c>
    </row>
    <row r="42" spans="1:5" x14ac:dyDescent="0.35">
      <c r="A42" t="s">
        <v>54</v>
      </c>
      <c r="C42">
        <v>13.07</v>
      </c>
      <c r="E42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A879D-3E6F-452C-A145-C56FD22DB04A}">
  <dimension ref="A1:G52"/>
  <sheetViews>
    <sheetView tabSelected="1" workbookViewId="0">
      <selection activeCell="G7" sqref="G7"/>
    </sheetView>
  </sheetViews>
  <sheetFormatPr defaultRowHeight="14.5" x14ac:dyDescent="0.35"/>
  <cols>
    <col min="1" max="1" width="19.54296875" customWidth="1"/>
    <col min="2" max="2" width="18.26953125" customWidth="1"/>
    <col min="3" max="3" width="16.26953125" customWidth="1"/>
    <col min="4" max="4" width="14.90625" customWidth="1"/>
    <col min="5" max="5" width="13.36328125" customWidth="1"/>
    <col min="7" max="7" width="12.9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7" x14ac:dyDescent="0.35">
      <c r="B2">
        <f>'Ambulift Travel Times'!B2-'Minibus Travel Times'!B2</f>
        <v>20.149999999999999</v>
      </c>
      <c r="C2">
        <f>'Ambulift Travel Times'!C2-'Minibus Travel Times'!C2</f>
        <v>0</v>
      </c>
      <c r="D2">
        <f>'Ambulift Travel Times'!D2-'Minibus Travel Times'!D2</f>
        <v>4.2399999999999993</v>
      </c>
      <c r="E2">
        <f>'Ambulift Travel Times'!E2-'Minibus Travel Times'!E2</f>
        <v>5.3099999999999987</v>
      </c>
    </row>
    <row r="3" spans="1:7" x14ac:dyDescent="0.35">
      <c r="A3" t="s">
        <v>5</v>
      </c>
      <c r="B3">
        <f>'Ambulift Travel Times'!B3-'Minibus Travel Times'!B3</f>
        <v>16.059999999999999</v>
      </c>
      <c r="C3">
        <f>'Ambulift Travel Times'!C3-'Minibus Travel Times'!C3</f>
        <v>-21.57</v>
      </c>
      <c r="D3">
        <f>'Ambulift Travel Times'!D3-'Minibus Travel Times'!D3</f>
        <v>21.55</v>
      </c>
      <c r="E3">
        <f>'Ambulift Travel Times'!E3-'Minibus Travel Times'!E3</f>
        <v>34.619999999999997</v>
      </c>
    </row>
    <row r="4" spans="1:7" x14ac:dyDescent="0.35">
      <c r="A4" t="s">
        <v>6</v>
      </c>
      <c r="B4">
        <f>'Ambulift Travel Times'!B4-'Minibus Travel Times'!B4</f>
        <v>0</v>
      </c>
      <c r="C4">
        <f>'Ambulift Travel Times'!C4-'Minibus Travel Times'!C4</f>
        <v>13.73</v>
      </c>
      <c r="D4">
        <f>'Ambulift Travel Times'!D4-'Minibus Travel Times'!D4</f>
        <v>9.8699999999999992</v>
      </c>
      <c r="E4">
        <f>'Ambulift Travel Times'!E4-'Minibus Travel Times'!E4</f>
        <v>7.15</v>
      </c>
    </row>
    <row r="5" spans="1:7" x14ac:dyDescent="0.35">
      <c r="A5" t="s">
        <v>7</v>
      </c>
      <c r="B5">
        <f>'Ambulift Travel Times'!B5-'Minibus Travel Times'!B5</f>
        <v>32.43</v>
      </c>
      <c r="C5">
        <f>'Ambulift Travel Times'!C5-'Minibus Travel Times'!C5</f>
        <v>0</v>
      </c>
      <c r="D5">
        <f>'Ambulift Travel Times'!D5-'Minibus Travel Times'!D5</f>
        <v>30.85</v>
      </c>
      <c r="E5">
        <f>'Ambulift Travel Times'!E5-'Minibus Travel Times'!E5</f>
        <v>3.370000000000001</v>
      </c>
      <c r="G5" s="3" t="s">
        <v>57</v>
      </c>
    </row>
    <row r="6" spans="1:7" x14ac:dyDescent="0.35">
      <c r="A6" t="s">
        <v>8</v>
      </c>
      <c r="B6">
        <f>'Ambulift Travel Times'!B6-'Minibus Travel Times'!B6</f>
        <v>0</v>
      </c>
      <c r="C6">
        <f>'Ambulift Travel Times'!C6-'Minibus Travel Times'!C6</f>
        <v>-10.88</v>
      </c>
      <c r="D6">
        <f>'Ambulift Travel Times'!D6-'Minibus Travel Times'!D6</f>
        <v>20.8</v>
      </c>
      <c r="E6">
        <f>'Ambulift Travel Times'!E6-'Minibus Travel Times'!E6</f>
        <v>1.2199999999999989</v>
      </c>
      <c r="G6" s="1" t="s">
        <v>58</v>
      </c>
    </row>
    <row r="7" spans="1:7" x14ac:dyDescent="0.35">
      <c r="A7" t="s">
        <v>9</v>
      </c>
      <c r="B7">
        <f>'Ambulift Travel Times'!B7-'Minibus Travel Times'!B7</f>
        <v>0</v>
      </c>
      <c r="C7">
        <f>'Ambulift Travel Times'!C7-'Minibus Travel Times'!C7</f>
        <v>9.9</v>
      </c>
      <c r="D7">
        <f>'Ambulift Travel Times'!D7-'Minibus Travel Times'!D7</f>
        <v>19.93</v>
      </c>
      <c r="E7">
        <f>'Ambulift Travel Times'!E7-'Minibus Travel Times'!E7</f>
        <v>12.149999999999999</v>
      </c>
      <c r="G7" s="2" t="s">
        <v>59</v>
      </c>
    </row>
    <row r="8" spans="1:7" x14ac:dyDescent="0.35">
      <c r="A8" t="s">
        <v>10</v>
      </c>
      <c r="B8">
        <f>'Ambulift Travel Times'!B8-'Minibus Travel Times'!B8</f>
        <v>0</v>
      </c>
      <c r="C8">
        <f>'Ambulift Travel Times'!C8-'Minibus Travel Times'!C8</f>
        <v>0</v>
      </c>
      <c r="D8">
        <f>'Ambulift Travel Times'!D8-'Minibus Travel Times'!D8</f>
        <v>40.07</v>
      </c>
      <c r="E8">
        <f>'Ambulift Travel Times'!E8-'Minibus Travel Times'!E8</f>
        <v>19.579999999999998</v>
      </c>
    </row>
    <row r="9" spans="1:7" x14ac:dyDescent="0.35">
      <c r="A9" t="s">
        <v>11</v>
      </c>
      <c r="B9">
        <f>'Ambulift Travel Times'!B9-'Minibus Travel Times'!B9</f>
        <v>0</v>
      </c>
      <c r="C9">
        <f>'Ambulift Travel Times'!C9-'Minibus Travel Times'!C9</f>
        <v>0</v>
      </c>
      <c r="D9">
        <f>'Ambulift Travel Times'!D9-'Minibus Travel Times'!D9</f>
        <v>12.95</v>
      </c>
      <c r="E9">
        <f>'Ambulift Travel Times'!E9-'Minibus Travel Times'!E9</f>
        <v>-12.499999999999998</v>
      </c>
    </row>
    <row r="10" spans="1:7" x14ac:dyDescent="0.35">
      <c r="A10" t="s">
        <v>12</v>
      </c>
      <c r="B10">
        <f>'Ambulift Travel Times'!B10-'Minibus Travel Times'!B10</f>
        <v>0</v>
      </c>
      <c r="C10">
        <f>'Ambulift Travel Times'!C10-'Minibus Travel Times'!C10</f>
        <v>42.02</v>
      </c>
      <c r="D10">
        <f>'Ambulift Travel Times'!D10-'Minibus Travel Times'!D10</f>
        <v>11.36</v>
      </c>
      <c r="E10">
        <f>'Ambulift Travel Times'!E10-'Minibus Travel Times'!E10</f>
        <v>9.3800000000000008</v>
      </c>
    </row>
    <row r="11" spans="1:7" x14ac:dyDescent="0.35">
      <c r="A11" t="s">
        <v>13</v>
      </c>
      <c r="B11">
        <f>'Ambulift Travel Times'!B11-'Minibus Travel Times'!B11</f>
        <v>0</v>
      </c>
      <c r="C11">
        <f>'Ambulift Travel Times'!C11-'Minibus Travel Times'!C11</f>
        <v>0</v>
      </c>
      <c r="D11">
        <f>'Ambulift Travel Times'!D11-'Minibus Travel Times'!D11</f>
        <v>29.53</v>
      </c>
      <c r="E11">
        <f>'Ambulift Travel Times'!E11-'Minibus Travel Times'!E11</f>
        <v>1.4500000000000028</v>
      </c>
    </row>
    <row r="12" spans="1:7" x14ac:dyDescent="0.35">
      <c r="A12" t="s">
        <v>14</v>
      </c>
      <c r="B12">
        <f>'Ambulift Travel Times'!B12-'Minibus Travel Times'!B12</f>
        <v>0</v>
      </c>
      <c r="C12">
        <f>'Ambulift Travel Times'!C12-'Minibus Travel Times'!C12</f>
        <v>0</v>
      </c>
      <c r="D12">
        <f>'Ambulift Travel Times'!D12-'Minibus Travel Times'!D12</f>
        <v>-12.92</v>
      </c>
      <c r="E12">
        <f>'Ambulift Travel Times'!E12-'Minibus Travel Times'!E12</f>
        <v>29.37</v>
      </c>
    </row>
    <row r="13" spans="1:7" x14ac:dyDescent="0.35">
      <c r="A13" t="s">
        <v>15</v>
      </c>
      <c r="B13">
        <f>'Ambulift Travel Times'!B13-'Minibus Travel Times'!B13</f>
        <v>0</v>
      </c>
      <c r="C13">
        <f>'Ambulift Travel Times'!C13-'Minibus Travel Times'!C13</f>
        <v>0</v>
      </c>
      <c r="D13">
        <f>'Ambulift Travel Times'!D13-'Minibus Travel Times'!D13</f>
        <v>0</v>
      </c>
      <c r="E13">
        <f>'Ambulift Travel Times'!E13-'Minibus Travel Times'!E13</f>
        <v>12.27</v>
      </c>
    </row>
    <row r="14" spans="1:7" x14ac:dyDescent="0.35">
      <c r="A14" t="s">
        <v>16</v>
      </c>
      <c r="B14">
        <f>'Ambulift Travel Times'!B14-'Minibus Travel Times'!B14</f>
        <v>0</v>
      </c>
      <c r="C14">
        <f>'Ambulift Travel Times'!C14-'Minibus Travel Times'!C14</f>
        <v>0</v>
      </c>
      <c r="D14">
        <f>'Ambulift Travel Times'!D14-'Minibus Travel Times'!D14</f>
        <v>0</v>
      </c>
      <c r="E14">
        <f>'Ambulift Travel Times'!E14-'Minibus Travel Times'!E14</f>
        <v>14.059999999999999</v>
      </c>
    </row>
    <row r="15" spans="1:7" x14ac:dyDescent="0.35">
      <c r="A15" t="s">
        <v>17</v>
      </c>
      <c r="B15">
        <f>'Ambulift Travel Times'!B15-'Minibus Travel Times'!B15</f>
        <v>0</v>
      </c>
      <c r="C15">
        <f>'Ambulift Travel Times'!C15-'Minibus Travel Times'!C15</f>
        <v>5.54</v>
      </c>
      <c r="D15">
        <f>'Ambulift Travel Times'!D15-'Minibus Travel Times'!D15</f>
        <v>12.39</v>
      </c>
      <c r="E15">
        <f>'Ambulift Travel Times'!E15-'Minibus Travel Times'!E15</f>
        <v>10.3</v>
      </c>
    </row>
    <row r="16" spans="1:7" x14ac:dyDescent="0.35">
      <c r="A16" t="s">
        <v>18</v>
      </c>
      <c r="B16">
        <f>'Ambulift Travel Times'!B16-'Minibus Travel Times'!B16</f>
        <v>26.48</v>
      </c>
      <c r="C16">
        <f>'Ambulift Travel Times'!C16-'Minibus Travel Times'!C16</f>
        <v>12.68</v>
      </c>
      <c r="D16">
        <f>'Ambulift Travel Times'!D16-'Minibus Travel Times'!D16</f>
        <v>23.02</v>
      </c>
      <c r="E16">
        <f>'Ambulift Travel Times'!E16-'Minibus Travel Times'!E16</f>
        <v>15.700000000000001</v>
      </c>
    </row>
    <row r="17" spans="1:5" x14ac:dyDescent="0.35">
      <c r="A17" t="s">
        <v>19</v>
      </c>
      <c r="B17">
        <f>'Ambulift Travel Times'!B17-'Minibus Travel Times'!B17</f>
        <v>0</v>
      </c>
      <c r="C17">
        <f>'Ambulift Travel Times'!C17-'Minibus Travel Times'!C17</f>
        <v>0</v>
      </c>
      <c r="D17">
        <f>'Ambulift Travel Times'!D17-'Minibus Travel Times'!D17</f>
        <v>-19.43</v>
      </c>
      <c r="E17">
        <f>'Ambulift Travel Times'!E17-'Minibus Travel Times'!E17</f>
        <v>12.91</v>
      </c>
    </row>
    <row r="18" spans="1:5" x14ac:dyDescent="0.35">
      <c r="A18" t="s">
        <v>20</v>
      </c>
      <c r="B18">
        <f>'Ambulift Travel Times'!B18-'Minibus Travel Times'!B18</f>
        <v>-7.5</v>
      </c>
      <c r="C18">
        <f>'Ambulift Travel Times'!C18-'Minibus Travel Times'!C18</f>
        <v>24.22</v>
      </c>
      <c r="D18">
        <f>'Ambulift Travel Times'!D18-'Minibus Travel Times'!D18</f>
        <v>8.5300000000000011</v>
      </c>
      <c r="E18">
        <f>'Ambulift Travel Times'!E18-'Minibus Travel Times'!E18</f>
        <v>19.48</v>
      </c>
    </row>
    <row r="19" spans="1:5" x14ac:dyDescent="0.35">
      <c r="A19" t="s">
        <v>21</v>
      </c>
      <c r="B19">
        <f>'Ambulift Travel Times'!B19-'Minibus Travel Times'!B19</f>
        <v>-9.82</v>
      </c>
      <c r="C19">
        <f>'Ambulift Travel Times'!C19-'Minibus Travel Times'!C19</f>
        <v>0</v>
      </c>
      <c r="D19">
        <f>'Ambulift Travel Times'!D19-'Minibus Travel Times'!D19</f>
        <v>0</v>
      </c>
      <c r="E19">
        <f>'Ambulift Travel Times'!E19-'Minibus Travel Times'!E19</f>
        <v>17.3</v>
      </c>
    </row>
    <row r="20" spans="1:5" x14ac:dyDescent="0.35">
      <c r="A20" t="s">
        <v>22</v>
      </c>
      <c r="B20">
        <f>'Ambulift Travel Times'!B20-'Minibus Travel Times'!B20</f>
        <v>0</v>
      </c>
      <c r="C20">
        <f>'Ambulift Travel Times'!C20-'Minibus Travel Times'!C20</f>
        <v>20.67</v>
      </c>
      <c r="D20">
        <f>'Ambulift Travel Times'!D20-'Minibus Travel Times'!D20</f>
        <v>39.450000000000003</v>
      </c>
      <c r="E20">
        <f>'Ambulift Travel Times'!E20-'Minibus Travel Times'!E20</f>
        <v>10.479999999999999</v>
      </c>
    </row>
    <row r="21" spans="1:5" x14ac:dyDescent="0.35">
      <c r="A21" t="s">
        <v>23</v>
      </c>
      <c r="B21">
        <f>'Ambulift Travel Times'!B21-'Minibus Travel Times'!B21</f>
        <v>0</v>
      </c>
      <c r="C21">
        <f>'Ambulift Travel Times'!C21-'Minibus Travel Times'!C21</f>
        <v>-7.03</v>
      </c>
      <c r="D21">
        <f>'Ambulift Travel Times'!D21-'Minibus Travel Times'!D21</f>
        <v>0</v>
      </c>
      <c r="E21">
        <f>'Ambulift Travel Times'!E21-'Minibus Travel Times'!E21</f>
        <v>0.32000000000000028</v>
      </c>
    </row>
    <row r="22" spans="1:5" x14ac:dyDescent="0.35">
      <c r="A22" t="s">
        <v>24</v>
      </c>
      <c r="B22">
        <f>'Ambulift Travel Times'!B22-'Minibus Travel Times'!B22</f>
        <v>8.6800000000000015</v>
      </c>
      <c r="C22">
        <f>'Ambulift Travel Times'!C22-'Minibus Travel Times'!C22</f>
        <v>16</v>
      </c>
      <c r="D22">
        <f>'Ambulift Travel Times'!D22-'Minibus Travel Times'!D22</f>
        <v>20.260000000000002</v>
      </c>
      <c r="E22">
        <f>'Ambulift Travel Times'!E22-'Minibus Travel Times'!E22</f>
        <v>11.37</v>
      </c>
    </row>
    <row r="23" spans="1:5" x14ac:dyDescent="0.35">
      <c r="A23" t="s">
        <v>25</v>
      </c>
      <c r="B23">
        <f>'Ambulift Travel Times'!B23-'Minibus Travel Times'!B23</f>
        <v>2.5899999999999981</v>
      </c>
      <c r="C23">
        <f>'Ambulift Travel Times'!C23-'Minibus Travel Times'!C23</f>
        <v>25.5</v>
      </c>
      <c r="D23">
        <f>'Ambulift Travel Times'!D23-'Minibus Travel Times'!D23</f>
        <v>23.01</v>
      </c>
      <c r="E23">
        <f>'Ambulift Travel Times'!E23-'Minibus Travel Times'!E23</f>
        <v>10.990000000000002</v>
      </c>
    </row>
    <row r="24" spans="1:5" x14ac:dyDescent="0.35">
      <c r="A24" t="s">
        <v>26</v>
      </c>
      <c r="B24">
        <f>'Ambulift Travel Times'!B24-'Minibus Travel Times'!B24</f>
        <v>9.52</v>
      </c>
      <c r="C24">
        <f>'Ambulift Travel Times'!C24-'Minibus Travel Times'!C24</f>
        <v>12</v>
      </c>
      <c r="D24">
        <f>'Ambulift Travel Times'!D24-'Minibus Travel Times'!D24</f>
        <v>15.48</v>
      </c>
      <c r="E24">
        <f>'Ambulift Travel Times'!E24-'Minibus Travel Times'!E24</f>
        <v>6.49</v>
      </c>
    </row>
    <row r="25" spans="1:5" x14ac:dyDescent="0.35">
      <c r="A25" t="s">
        <v>27</v>
      </c>
      <c r="B25">
        <f>'Ambulift Travel Times'!B25-'Minibus Travel Times'!B25</f>
        <v>-0.12000000000000099</v>
      </c>
      <c r="C25">
        <f>'Ambulift Travel Times'!C25-'Minibus Travel Times'!C25</f>
        <v>11.75</v>
      </c>
      <c r="D25">
        <f>'Ambulift Travel Times'!D25-'Minibus Travel Times'!D25</f>
        <v>0</v>
      </c>
      <c r="E25">
        <f>'Ambulift Travel Times'!E25-'Minibus Travel Times'!E25</f>
        <v>23.14</v>
      </c>
    </row>
    <row r="26" spans="1:5" x14ac:dyDescent="0.35">
      <c r="A26" t="s">
        <v>28</v>
      </c>
      <c r="B26">
        <f>'Ambulift Travel Times'!B26-'Minibus Travel Times'!B26</f>
        <v>0</v>
      </c>
      <c r="C26">
        <f>'Ambulift Travel Times'!C26-'Minibus Travel Times'!C26</f>
        <v>16.88</v>
      </c>
      <c r="D26">
        <f>'Ambulift Travel Times'!D26-'Minibus Travel Times'!D26</f>
        <v>0</v>
      </c>
      <c r="E26">
        <f>'Ambulift Travel Times'!E26-'Minibus Travel Times'!E26</f>
        <v>-13.079999999999998</v>
      </c>
    </row>
    <row r="27" spans="1:5" x14ac:dyDescent="0.35">
      <c r="A27" t="s">
        <v>29</v>
      </c>
      <c r="B27">
        <f>'Ambulift Travel Times'!B27-'Minibus Travel Times'!B27</f>
        <v>5.36</v>
      </c>
      <c r="C27">
        <f>'Ambulift Travel Times'!C27-'Minibus Travel Times'!C27</f>
        <v>12.95</v>
      </c>
      <c r="D27">
        <f>'Ambulift Travel Times'!D27-'Minibus Travel Times'!D27</f>
        <v>-7.47</v>
      </c>
      <c r="E27">
        <f>'Ambulift Travel Times'!E27-'Minibus Travel Times'!E27</f>
        <v>5.0199999999999996</v>
      </c>
    </row>
    <row r="28" spans="1:5" x14ac:dyDescent="0.35">
      <c r="A28" t="s">
        <v>30</v>
      </c>
      <c r="B28">
        <f>'Ambulift Travel Times'!B28-'Minibus Travel Times'!B28</f>
        <v>31.39</v>
      </c>
      <c r="C28">
        <f>'Ambulift Travel Times'!C28-'Minibus Travel Times'!C28</f>
        <v>0</v>
      </c>
      <c r="D28">
        <f>'Ambulift Travel Times'!D28-'Minibus Travel Times'!D28</f>
        <v>0</v>
      </c>
      <c r="E28">
        <f>'Ambulift Travel Times'!E28-'Minibus Travel Times'!E28</f>
        <v>5.9399999999999995</v>
      </c>
    </row>
    <row r="29" spans="1:5" x14ac:dyDescent="0.35">
      <c r="A29" t="s">
        <v>31</v>
      </c>
      <c r="B29">
        <f>'Ambulift Travel Times'!B29-'Minibus Travel Times'!B29</f>
        <v>-13.95</v>
      </c>
      <c r="C29">
        <f>'Ambulift Travel Times'!C29-'Minibus Travel Times'!C29</f>
        <v>0</v>
      </c>
      <c r="D29">
        <f>'Ambulift Travel Times'!D29-'Minibus Travel Times'!D29</f>
        <v>0</v>
      </c>
      <c r="E29">
        <f>'Ambulift Travel Times'!E29-'Minibus Travel Times'!E29</f>
        <v>-4.6000000000000014</v>
      </c>
    </row>
    <row r="30" spans="1:5" x14ac:dyDescent="0.35">
      <c r="A30" t="s">
        <v>32</v>
      </c>
      <c r="B30">
        <f>'Ambulift Travel Times'!B30-'Minibus Travel Times'!B30</f>
        <v>11.48</v>
      </c>
      <c r="C30">
        <f>'Ambulift Travel Times'!C30-'Minibus Travel Times'!C30</f>
        <v>0</v>
      </c>
      <c r="D30">
        <f>'Ambulift Travel Times'!D30-'Minibus Travel Times'!D30</f>
        <v>0</v>
      </c>
      <c r="E30">
        <f>'Ambulift Travel Times'!E30-'Minibus Travel Times'!E30</f>
        <v>5.23</v>
      </c>
    </row>
    <row r="31" spans="1:5" x14ac:dyDescent="0.35">
      <c r="A31" t="s">
        <v>33</v>
      </c>
      <c r="B31">
        <f>'Ambulift Travel Times'!B31-'Minibus Travel Times'!B31</f>
        <v>18.72</v>
      </c>
      <c r="C31">
        <f>'Ambulift Travel Times'!C31-'Minibus Travel Times'!C31</f>
        <v>0</v>
      </c>
      <c r="D31">
        <f>'Ambulift Travel Times'!D31-'Minibus Travel Times'!D31</f>
        <v>0</v>
      </c>
      <c r="E31">
        <f>'Ambulift Travel Times'!E31-'Minibus Travel Times'!E31</f>
        <v>-2.5</v>
      </c>
    </row>
    <row r="32" spans="1:5" x14ac:dyDescent="0.35">
      <c r="A32" t="s">
        <v>34</v>
      </c>
      <c r="B32">
        <f>'Ambulift Travel Times'!B32-'Minibus Travel Times'!B32</f>
        <v>1.67</v>
      </c>
      <c r="C32">
        <f>'Ambulift Travel Times'!C32-'Minibus Travel Times'!C32</f>
        <v>33.67</v>
      </c>
      <c r="D32">
        <f>'Ambulift Travel Times'!D32-'Minibus Travel Times'!D32</f>
        <v>16.600000000000001</v>
      </c>
      <c r="E32">
        <f>'Ambulift Travel Times'!E32-'Minibus Travel Times'!E32</f>
        <v>-19.72</v>
      </c>
    </row>
    <row r="33" spans="1:5" x14ac:dyDescent="0.35">
      <c r="A33" t="s">
        <v>35</v>
      </c>
      <c r="B33">
        <f>'Ambulift Travel Times'!B33-'Minibus Travel Times'!B33</f>
        <v>0</v>
      </c>
      <c r="C33">
        <f>'Ambulift Travel Times'!C33-'Minibus Travel Times'!C33</f>
        <v>0</v>
      </c>
      <c r="D33">
        <f>'Ambulift Travel Times'!D33-'Minibus Travel Times'!D33</f>
        <v>0</v>
      </c>
      <c r="E33">
        <f>'Ambulift Travel Times'!E33-'Minibus Travel Times'!E33</f>
        <v>11.46</v>
      </c>
    </row>
    <row r="34" spans="1:5" x14ac:dyDescent="0.35">
      <c r="A34" t="s">
        <v>36</v>
      </c>
      <c r="B34">
        <f>'Ambulift Travel Times'!B34-'Minibus Travel Times'!B34</f>
        <v>26.37</v>
      </c>
      <c r="C34">
        <f>'Ambulift Travel Times'!C34-'Minibus Travel Times'!C34</f>
        <v>0</v>
      </c>
      <c r="D34">
        <f>'Ambulift Travel Times'!D34-'Minibus Travel Times'!D34</f>
        <v>15.05</v>
      </c>
      <c r="E34">
        <f>'Ambulift Travel Times'!E34-'Minibus Travel Times'!E34</f>
        <v>9.1499999999999986</v>
      </c>
    </row>
    <row r="35" spans="1:5" x14ac:dyDescent="0.35">
      <c r="A35" t="s">
        <v>37</v>
      </c>
      <c r="B35">
        <f>'Ambulift Travel Times'!B35-'Minibus Travel Times'!B35</f>
        <v>17.670000000000002</v>
      </c>
      <c r="C35">
        <f>'Ambulift Travel Times'!C35-'Minibus Travel Times'!C35</f>
        <v>-11.19</v>
      </c>
      <c r="D35">
        <f>'Ambulift Travel Times'!D35-'Minibus Travel Times'!D35</f>
        <v>9.1199999999999992</v>
      </c>
      <c r="E35">
        <f>'Ambulift Travel Times'!E35-'Minibus Travel Times'!E35</f>
        <v>30.93</v>
      </c>
    </row>
    <row r="36" spans="1:5" x14ac:dyDescent="0.35">
      <c r="A36" t="s">
        <v>38</v>
      </c>
      <c r="B36">
        <f>'Ambulift Travel Times'!B36-'Minibus Travel Times'!B36</f>
        <v>0</v>
      </c>
      <c r="C36">
        <f>'Ambulift Travel Times'!C36-'Minibus Travel Times'!C36</f>
        <v>22.42</v>
      </c>
      <c r="D36">
        <f>'Ambulift Travel Times'!D36-'Minibus Travel Times'!D36</f>
        <v>0</v>
      </c>
      <c r="E36">
        <f>'Ambulift Travel Times'!E36-'Minibus Travel Times'!E36</f>
        <v>3.7900000000000009</v>
      </c>
    </row>
    <row r="37" spans="1:5" x14ac:dyDescent="0.35">
      <c r="A37" t="s">
        <v>39</v>
      </c>
      <c r="B37">
        <f>'Ambulift Travel Times'!B37-'Minibus Travel Times'!B37</f>
        <v>0</v>
      </c>
      <c r="C37">
        <f>'Ambulift Travel Times'!C37-'Minibus Travel Times'!C37</f>
        <v>15.470000000000002</v>
      </c>
      <c r="D37">
        <f>'Ambulift Travel Times'!D37-'Minibus Travel Times'!D37</f>
        <v>-5.73</v>
      </c>
      <c r="E37">
        <f>'Ambulift Travel Times'!E37-'Minibus Travel Times'!E37</f>
        <v>19.95</v>
      </c>
    </row>
    <row r="38" spans="1:5" x14ac:dyDescent="0.35">
      <c r="A38" t="s">
        <v>40</v>
      </c>
      <c r="B38">
        <f>'Ambulift Travel Times'!B38-'Minibus Travel Times'!B38</f>
        <v>40.050000000000004</v>
      </c>
      <c r="C38">
        <f>'Ambulift Travel Times'!C38-'Minibus Travel Times'!C38</f>
        <v>0</v>
      </c>
      <c r="D38">
        <f>'Ambulift Travel Times'!D38-'Minibus Travel Times'!D38</f>
        <v>0</v>
      </c>
      <c r="E38">
        <f>'Ambulift Travel Times'!E38-'Minibus Travel Times'!E38</f>
        <v>17.989999999999998</v>
      </c>
    </row>
    <row r="39" spans="1:5" x14ac:dyDescent="0.35">
      <c r="A39" t="s">
        <v>41</v>
      </c>
      <c r="B39">
        <f>'Ambulift Travel Times'!B39-'Minibus Travel Times'!B39</f>
        <v>39.17</v>
      </c>
      <c r="C39">
        <f>'Ambulift Travel Times'!C39-'Minibus Travel Times'!C39</f>
        <v>0</v>
      </c>
      <c r="D39">
        <f>'Ambulift Travel Times'!D39-'Minibus Travel Times'!D39</f>
        <v>3.9600000000000009</v>
      </c>
      <c r="E39">
        <f>'Ambulift Travel Times'!E39-'Minibus Travel Times'!E39</f>
        <v>4.2199999999999989</v>
      </c>
    </row>
    <row r="40" spans="1:5" x14ac:dyDescent="0.35">
      <c r="A40" t="s">
        <v>42</v>
      </c>
      <c r="B40">
        <f>'Ambulift Travel Times'!B40-'Minibus Travel Times'!B40</f>
        <v>-8.73</v>
      </c>
      <c r="C40">
        <f>'Ambulift Travel Times'!C40-'Minibus Travel Times'!C40</f>
        <v>0</v>
      </c>
      <c r="D40">
        <f>'Ambulift Travel Times'!D40-'Minibus Travel Times'!D40</f>
        <v>54.61</v>
      </c>
      <c r="E40">
        <f>'Ambulift Travel Times'!E40-'Minibus Travel Times'!E40</f>
        <v>36.06</v>
      </c>
    </row>
    <row r="41" spans="1:5" x14ac:dyDescent="0.35">
      <c r="A41" t="s">
        <v>43</v>
      </c>
      <c r="B41">
        <f>'Ambulift Travel Times'!B41-'Minibus Travel Times'!B41</f>
        <v>-0.27</v>
      </c>
      <c r="C41">
        <f>'Ambulift Travel Times'!C41-'Minibus Travel Times'!C41</f>
        <v>18.579999999999998</v>
      </c>
      <c r="D41">
        <f>'Ambulift Travel Times'!D41-'Minibus Travel Times'!D41</f>
        <v>-11.4</v>
      </c>
      <c r="E41">
        <f>'Ambulift Travel Times'!E41-'Minibus Travel Times'!E41</f>
        <v>2.0199999999999996</v>
      </c>
    </row>
    <row r="42" spans="1:5" x14ac:dyDescent="0.35">
      <c r="A42" t="s">
        <v>44</v>
      </c>
      <c r="B42">
        <f>'Ambulift Travel Times'!B42-'Minibus Travel Times'!B42</f>
        <v>0</v>
      </c>
      <c r="C42">
        <f>'Ambulift Travel Times'!C42-'Minibus Travel Times'!C42</f>
        <v>52.13</v>
      </c>
      <c r="D42">
        <f>'Ambulift Travel Times'!D42-'Minibus Travel Times'!D42</f>
        <v>0</v>
      </c>
      <c r="E42">
        <f>'Ambulift Travel Times'!E42-'Minibus Travel Times'!E42</f>
        <v>39.22</v>
      </c>
    </row>
    <row r="43" spans="1:5" x14ac:dyDescent="0.35">
      <c r="A43" t="s">
        <v>45</v>
      </c>
      <c r="B43">
        <f>'Ambulift Travel Times'!B43-'Minibus Travel Times'!B43</f>
        <v>0</v>
      </c>
      <c r="C43">
        <f>'Ambulift Travel Times'!C43-'Minibus Travel Times'!C43</f>
        <v>0</v>
      </c>
      <c r="D43">
        <f>'Ambulift Travel Times'!D43-'Minibus Travel Times'!D43</f>
        <v>0</v>
      </c>
      <c r="E43">
        <f>'Ambulift Travel Times'!E43-'Minibus Travel Times'!E43</f>
        <v>21.75</v>
      </c>
    </row>
    <row r="44" spans="1:5" x14ac:dyDescent="0.35">
      <c r="A44" t="s">
        <v>46</v>
      </c>
      <c r="B44">
        <f>'Ambulift Travel Times'!B44-'Minibus Travel Times'!B44</f>
        <v>0</v>
      </c>
      <c r="C44">
        <f>'Ambulift Travel Times'!C44-'Minibus Travel Times'!C44</f>
        <v>0</v>
      </c>
      <c r="D44">
        <f>'Ambulift Travel Times'!D44-'Minibus Travel Times'!D44</f>
        <v>0</v>
      </c>
      <c r="E44">
        <f>'Ambulift Travel Times'!E44-'Minibus Travel Times'!E44</f>
        <v>23.03</v>
      </c>
    </row>
    <row r="45" spans="1:5" x14ac:dyDescent="0.35">
      <c r="A45" t="s">
        <v>47</v>
      </c>
      <c r="B45">
        <f>'Ambulift Travel Times'!B45-'Minibus Travel Times'!B45</f>
        <v>0</v>
      </c>
      <c r="C45">
        <f>'Ambulift Travel Times'!C45-'Minibus Travel Times'!C45</f>
        <v>4.59</v>
      </c>
      <c r="D45">
        <f>'Ambulift Travel Times'!D45-'Minibus Travel Times'!D45</f>
        <v>0</v>
      </c>
      <c r="E45">
        <f>'Ambulift Travel Times'!E45-'Minibus Travel Times'!E45</f>
        <v>0</v>
      </c>
    </row>
    <row r="46" spans="1:5" x14ac:dyDescent="0.35">
      <c r="A46" t="s">
        <v>48</v>
      </c>
      <c r="B46">
        <f>'Ambulift Travel Times'!B46-'Minibus Travel Times'!B46</f>
        <v>15.45</v>
      </c>
      <c r="C46">
        <f>'Ambulift Travel Times'!C46-'Minibus Travel Times'!C46</f>
        <v>14.5</v>
      </c>
      <c r="D46">
        <f>'Ambulift Travel Times'!D46-'Minibus Travel Times'!D46</f>
        <v>0</v>
      </c>
      <c r="E46">
        <f>'Ambulift Travel Times'!E46-'Minibus Travel Times'!E46</f>
        <v>20.260000000000002</v>
      </c>
    </row>
    <row r="47" spans="1:5" x14ac:dyDescent="0.35">
      <c r="A47" t="s">
        <v>49</v>
      </c>
      <c r="B47">
        <f>'Ambulift Travel Times'!B47-'Minibus Travel Times'!B47</f>
        <v>0</v>
      </c>
      <c r="C47">
        <f>'Ambulift Travel Times'!C47-'Minibus Travel Times'!C47</f>
        <v>28.49</v>
      </c>
      <c r="D47">
        <f>'Ambulift Travel Times'!D47-'Minibus Travel Times'!D47</f>
        <v>16.010000000000002</v>
      </c>
      <c r="E47">
        <f>'Ambulift Travel Times'!E47-'Minibus Travel Times'!E47</f>
        <v>16.88</v>
      </c>
    </row>
    <row r="48" spans="1:5" x14ac:dyDescent="0.35">
      <c r="A48" t="s">
        <v>50</v>
      </c>
      <c r="B48">
        <f>'Ambulift Travel Times'!B48-'Minibus Travel Times'!B48</f>
        <v>0</v>
      </c>
      <c r="C48">
        <f>'Ambulift Travel Times'!C48-'Minibus Travel Times'!C48</f>
        <v>3.55</v>
      </c>
      <c r="D48">
        <f>'Ambulift Travel Times'!D48-'Minibus Travel Times'!D48</f>
        <v>0</v>
      </c>
      <c r="E48">
        <f>'Ambulift Travel Times'!E48-'Minibus Travel Times'!E48</f>
        <v>0</v>
      </c>
    </row>
    <row r="49" spans="1:5" x14ac:dyDescent="0.35">
      <c r="A49" t="s">
        <v>51</v>
      </c>
      <c r="B49">
        <f>'Ambulift Travel Times'!B49-'Minibus Travel Times'!B49</f>
        <v>23.97</v>
      </c>
      <c r="C49">
        <f>'Ambulift Travel Times'!C49-'Minibus Travel Times'!C49</f>
        <v>46.73</v>
      </c>
      <c r="D49">
        <f>'Ambulift Travel Times'!D49-'Minibus Travel Times'!D49</f>
        <v>21.72</v>
      </c>
      <c r="E49">
        <f>'Ambulift Travel Times'!E49-'Minibus Travel Times'!E49</f>
        <v>19.88</v>
      </c>
    </row>
    <row r="50" spans="1:5" x14ac:dyDescent="0.35">
      <c r="A50" t="s">
        <v>52</v>
      </c>
      <c r="B50">
        <f>'Ambulift Travel Times'!B50-'Minibus Travel Times'!B50</f>
        <v>0</v>
      </c>
      <c r="C50">
        <f>'Ambulift Travel Times'!C50-'Minibus Travel Times'!C50</f>
        <v>64.099999999999994</v>
      </c>
      <c r="D50">
        <f>'Ambulift Travel Times'!D50-'Minibus Travel Times'!D50</f>
        <v>16.579999999999998</v>
      </c>
      <c r="E50">
        <f>'Ambulift Travel Times'!E50-'Minibus Travel Times'!E50</f>
        <v>0</v>
      </c>
    </row>
    <row r="51" spans="1:5" x14ac:dyDescent="0.35">
      <c r="A51" t="s">
        <v>53</v>
      </c>
      <c r="B51">
        <f>'Ambulift Travel Times'!B51-'Minibus Travel Times'!B51</f>
        <v>17.82</v>
      </c>
      <c r="C51">
        <f>'Ambulift Travel Times'!C51-'Minibus Travel Times'!C51</f>
        <v>71.069999999999993</v>
      </c>
      <c r="D51">
        <f>'Ambulift Travel Times'!D51-'Minibus Travel Times'!D51</f>
        <v>20.28</v>
      </c>
      <c r="E51">
        <f>'Ambulift Travel Times'!E51-'Minibus Travel Times'!E51</f>
        <v>13.01</v>
      </c>
    </row>
    <row r="52" spans="1:5" x14ac:dyDescent="0.35">
      <c r="A52" t="s">
        <v>54</v>
      </c>
      <c r="B52">
        <f>'Ambulift Travel Times'!B52-'Minibus Travel Times'!B52</f>
        <v>0</v>
      </c>
      <c r="C52">
        <f>'Ambulift Travel Times'!C52-'Minibus Travel Times'!C52</f>
        <v>14.73</v>
      </c>
      <c r="D52">
        <f>'Ambulift Travel Times'!D52-'Minibus Travel Times'!D52</f>
        <v>29.72</v>
      </c>
      <c r="E52">
        <f>'Ambulift Travel Times'!E52-'Minibus Travel Times'!E52</f>
        <v>25.71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stopIfTrue="1" id="{3859E414-3BB8-4B6A-A0CC-2246468C664A}">
            <xm:f>AND('Ambulift Travel Times'!B2&gt;0,'Minibus Travel Times'!B2&gt;0)</xm:f>
            <x14:dxf>
              <fill>
                <patternFill>
                  <bgColor rgb="FF92D050"/>
                </patternFill>
              </fill>
            </x14:dxf>
          </x14:cfRule>
          <x14:cfRule type="expression" priority="2" id="{0C436416-70BF-49C0-AB02-A3D684DAD9C9}">
            <xm:f>AND('Ambulift Travel Times'!B2&gt;0,'Minibus Travel Times'!B2=0)</xm:f>
            <x14:dxf>
              <fill>
                <patternFill>
                  <bgColor theme="9" tint="0.79998168889431442"/>
                </patternFill>
              </fill>
            </x14:dxf>
          </x14:cfRule>
          <x14:cfRule type="expression" priority="3" id="{E3C81D67-0091-471B-863D-2A4FD2492478}">
            <xm:f>AND('Ambulift Travel Times'!B2=0, 'Minibus Travel Times'!B2&gt;0)</xm:f>
            <x14:dxf>
              <fill>
                <patternFill>
                  <bgColor theme="8" tint="0.79998168889431442"/>
                </patternFill>
              </fill>
            </x14:dxf>
          </x14:cfRule>
          <xm:sqref>B2:E52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Ambulift Travel Times</vt:lpstr>
      <vt:lpstr>Minibus Travel Times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Jamie Douglas</cp:lastModifiedBy>
  <dcterms:created xsi:type="dcterms:W3CDTF">2026-04-03T07:11:47Z</dcterms:created>
  <dcterms:modified xsi:type="dcterms:W3CDTF">2026-04-03T08:08:43Z</dcterms:modified>
</cp:coreProperties>
</file>