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/PRM/reports/"/>
    </mc:Choice>
  </mc:AlternateContent>
  <xr:revisionPtr revIDLastSave="1" documentId="11_098EED5A1D5F09C1576831A6AB027DD31165DE90" xr6:coauthVersionLast="47" xr6:coauthVersionMax="47" xr10:uidLastSave="{A5B438F4-2786-4CA9-84F4-8EE33DEDE072}"/>
  <bookViews>
    <workbookView xWindow="16710" yWindow="8115" windowWidth="38700" windowHeight="15345" activeTab="2" xr2:uid="{00000000-000D-0000-FFFF-FFFF00000000}"/>
  </bookViews>
  <sheets>
    <sheet name="Monthly_PRMs" sheetId="1" r:id="rId1"/>
    <sheet name="Yearly_Summary" sheetId="2" r:id="rId2"/>
    <sheet name="3 Year PRM Demand Growt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<sst xmlns="http://schemas.openxmlformats.org/spreadsheetml/2006/main" count="44" uniqueCount="35">
  <si>
    <t>Year</t>
  </si>
  <si>
    <t>Unique Count</t>
  </si>
  <si>
    <t>Ambulift PRMs</t>
  </si>
  <si>
    <t>Total Pax</t>
  </si>
  <si>
    <t>Penetration Rate</t>
  </si>
  <si>
    <t>Budget PRM Demand</t>
  </si>
  <si>
    <t>Budget Penetration Rate</t>
  </si>
  <si>
    <t>Diff vs Budget PRM (%)</t>
  </si>
  <si>
    <t>Diff vs Budget Penetration Rate (%)</t>
  </si>
  <si>
    <t>Peak Day</t>
  </si>
  <si>
    <t>Peak Count</t>
  </si>
  <si>
    <t>Avg Complaints 2023</t>
  </si>
  <si>
    <t>Avg Complaints 2024</t>
  </si>
  <si>
    <t>Avg Complaints 2025</t>
  </si>
  <si>
    <t>ECAC Arrivals</t>
  </si>
  <si>
    <t>ECAC Departures</t>
  </si>
  <si>
    <t>Month</t>
  </si>
  <si>
    <t>Percent Ambulift</t>
  </si>
  <si>
    <t>Month 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</si>
  <si>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</si>
  <si>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</si>
  <si>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</si>
  <si>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</si>
  <si>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</si>
  <si>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</si>
  <si>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</si>
  <si>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</si>
  <si>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</si>
  <si>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</si>
  <si>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</si>
  <si>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</si>
  <si>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Period</t>
  </si>
  <si>
    <t>Count</t>
  </si>
  <si>
    <t>Absolute Change</t>
  </si>
  <si>
    <t>Percent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</si>
</sst>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5"/>
  <sheetViews>
    <sheetView workbookViewId="0">
      <selection activeCell="B16" sqref="B16"/>
    </sheetView>
  </sheetViews>
  <sheetFormatPr defaultRowHeight="15" x14ac:dyDescent="0.25"/>
  <sheetData>
    <row r="2" spans="1:12" x14ac:dyDescent="0.25">
      <c r="A2" t="s">
        <v>16</v>
      </c>
      <c r="B2" t="s">
        <v>1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2</v>
      </c>
      <c r="J2" t="s">
        <v>17</v>
      </c>
      <c r="K2" t="s">
        <v>0</v>
      </c>
      <c r="L2" t="s">
        <v>18</v>
      </c>
    </row>
    <row r="3" spans="1:12" x14ac:dyDescent="0.25">
      <c r="A3" s="1">
        <v>45658</v>
      </c>
      <c r="B3">
        <v>8571</v>
      </c>
      <c r="C3">
        <v>950265</v>
      </c>
      <c r="D3">
        <v>9.0195892724661015E-3</v>
      </c>
      <c r="E3">
        <v>8914</v>
      </c>
      <c r="F3">
        <v>9.2999999999999992E-3</v>
      </c>
      <c r="G3">
        <v>-3.847879739735248</v>
      </c>
      <c r="H3">
        <v>-3.0151691132677181</v>
      </c>
      <c r="I3">
        <v>2888</v>
      </c>
      <c r="J3">
        <v>0.33695018084237538</v>
      </c>
      <c r="K3">
        <v>2025</v>
      </c>
      <c r="L3" t="s">
        <v>19</v>
      </c>
    </row>
    <row r="4" spans="1:12" x14ac:dyDescent="0.25">
      <c r="A4" s="1">
        <v>45689</v>
      </c>
      <c r="B4">
        <v>8252</v>
      </c>
      <c r="C4">
        <v>1016754</v>
      </c>
      <c r="D4">
        <v>8.1160241316975395E-3</v>
      </c>
      <c r="E4">
        <v>7810</v>
      </c>
      <c r="F4">
        <v>8.0000000000000002E-3</v>
      </c>
      <c r="G4">
        <v>5.6594110115236882</v>
      </c>
      <c r="H4">
        <v>1.450301646219242</v>
      </c>
      <c r="I4">
        <v>2642</v>
      </c>
      <c r="J4">
        <v>0.32016480853126522</v>
      </c>
      <c r="K4">
        <v>2025</v>
      </c>
      <c r="L4" t="s">
        <v>20</v>
      </c>
    </row>
    <row r="5" spans="1:12" x14ac:dyDescent="0.25">
      <c r="A5" s="1">
        <v>45717</v>
      </c>
      <c r="B5">
        <v>10917</v>
      </c>
      <c r="C5">
        <v>1191178</v>
      </c>
      <c r="D5">
        <v>9.1648771216392508E-3</v>
      </c>
      <c r="E5">
        <v>10094</v>
      </c>
      <c r="F5">
        <v>8.8999999999999999E-3</v>
      </c>
      <c r="G5">
        <v>8.1533584307509415</v>
      </c>
      <c r="H5">
        <v>2.9761474341488872</v>
      </c>
      <c r="I5">
        <v>3643</v>
      </c>
      <c r="J5">
        <v>0.33369973435925621</v>
      </c>
      <c r="K5">
        <v>2025</v>
      </c>
      <c r="L5" t="s">
        <v>21</v>
      </c>
    </row>
    <row r="6" spans="1:12" x14ac:dyDescent="0.25">
      <c r="A6" s="1">
        <v>45748</v>
      </c>
      <c r="B6">
        <v>13211</v>
      </c>
      <c r="C6">
        <v>1393766</v>
      </c>
      <c r="D6">
        <v>9.4786355815825608E-3</v>
      </c>
      <c r="E6">
        <v>14108</v>
      </c>
      <c r="F6">
        <v>1.0500000000000001E-2</v>
      </c>
      <c r="G6">
        <v>-6.3580946980436632</v>
      </c>
      <c r="H6">
        <v>-9.7272801754041893</v>
      </c>
      <c r="I6">
        <v>3821</v>
      </c>
      <c r="J6">
        <v>0.2892286730754674</v>
      </c>
      <c r="K6">
        <v>2025</v>
      </c>
      <c r="L6" t="s">
        <v>22</v>
      </c>
    </row>
    <row r="7" spans="1:12" x14ac:dyDescent="0.25">
      <c r="A7" s="1">
        <v>45778</v>
      </c>
      <c r="B7">
        <v>18066</v>
      </c>
      <c r="C7">
        <v>1576370</v>
      </c>
      <c r="D7">
        <v>1.146050736819402E-2</v>
      </c>
      <c r="E7">
        <v>17099</v>
      </c>
      <c r="F7">
        <v>1.11E-2</v>
      </c>
      <c r="G7">
        <v>5.6553014796186911</v>
      </c>
      <c r="H7">
        <v>3.247814127874006</v>
      </c>
      <c r="I7">
        <v>5819</v>
      </c>
      <c r="J7">
        <v>0.32209675633787233</v>
      </c>
      <c r="K7">
        <v>2025</v>
      </c>
      <c r="L7" t="s">
        <v>23</v>
      </c>
    </row>
    <row r="8" spans="1:12" x14ac:dyDescent="0.25">
      <c r="A8" s="1">
        <v>45809</v>
      </c>
      <c r="B8">
        <v>17551</v>
      </c>
      <c r="C8">
        <v>1643686</v>
      </c>
      <c r="D8">
        <v>1.0677830193844809E-2</v>
      </c>
      <c r="E8">
        <v>16142</v>
      </c>
      <c r="F8">
        <v>1.01E-2</v>
      </c>
      <c r="G8">
        <v>8.7287820592243843</v>
      </c>
      <c r="H8">
        <v>5.7210910281664331</v>
      </c>
      <c r="I8">
        <v>5926</v>
      </c>
      <c r="J8">
        <v>0.33764457865648678</v>
      </c>
      <c r="K8">
        <v>2025</v>
      </c>
      <c r="L8" t="s">
        <v>24</v>
      </c>
    </row>
    <row r="9" spans="1:12" x14ac:dyDescent="0.25">
      <c r="A9" s="1">
        <v>45839</v>
      </c>
      <c r="B9">
        <v>17067</v>
      </c>
      <c r="C9">
        <v>1783408</v>
      </c>
      <c r="D9">
        <v>9.5698796910185444E-3</v>
      </c>
      <c r="E9">
        <v>17370</v>
      </c>
      <c r="F9">
        <v>1.03E-2</v>
      </c>
      <c r="G9">
        <v>-1.744386873920553</v>
      </c>
      <c r="H9">
        <v>-7.0885466891403466</v>
      </c>
      <c r="I9">
        <v>7425</v>
      </c>
      <c r="J9">
        <v>0.43505009667779931</v>
      </c>
      <c r="K9">
        <v>2025</v>
      </c>
      <c r="L9" t="s">
        <v>25</v>
      </c>
    </row>
    <row r="10" spans="1:12" x14ac:dyDescent="0.25">
      <c r="A10" s="1">
        <v>45870</v>
      </c>
      <c r="B10">
        <v>16593</v>
      </c>
      <c r="C10">
        <v>1770479</v>
      </c>
      <c r="D10">
        <v>9.3720399959558963E-3</v>
      </c>
      <c r="E10">
        <v>16812</v>
      </c>
      <c r="F10">
        <v>1.01E-2</v>
      </c>
      <c r="G10">
        <v>-1.3026409707351889</v>
      </c>
      <c r="H10">
        <v>-7.2075247925158754</v>
      </c>
      <c r="I10">
        <v>6537</v>
      </c>
      <c r="J10">
        <v>0.39396130898571691</v>
      </c>
      <c r="K10">
        <v>2025</v>
      </c>
      <c r="L10" t="s">
        <v>26</v>
      </c>
    </row>
    <row r="11" spans="1:12" x14ac:dyDescent="0.25">
      <c r="A11" s="1">
        <v>45901</v>
      </c>
      <c r="B11">
        <v>19661</v>
      </c>
      <c r="C11">
        <v>1628741</v>
      </c>
      <c r="D11">
        <v>1.2071286963366181E-2</v>
      </c>
      <c r="E11">
        <v>19787</v>
      </c>
      <c r="F11">
        <v>1.2800000000000001E-2</v>
      </c>
      <c r="G11">
        <v>-0.63678172537524635</v>
      </c>
      <c r="H11">
        <v>-5.6930705987017038</v>
      </c>
      <c r="I11">
        <v>8489</v>
      </c>
      <c r="J11">
        <v>0.431768475662479</v>
      </c>
      <c r="K11">
        <v>2025</v>
      </c>
      <c r="L11" t="s">
        <v>27</v>
      </c>
    </row>
    <row r="12" spans="1:12" x14ac:dyDescent="0.25">
      <c r="A12" s="1">
        <v>45931</v>
      </c>
      <c r="B12">
        <v>17996</v>
      </c>
      <c r="C12">
        <v>1609847</v>
      </c>
      <c r="D12">
        <v>1.1178702075414619E-2</v>
      </c>
      <c r="E12">
        <v>16709</v>
      </c>
      <c r="F12">
        <v>1.17E-2</v>
      </c>
      <c r="G12">
        <v>7.7024358130348913</v>
      </c>
      <c r="H12">
        <v>-4.455537816969068</v>
      </c>
      <c r="I12">
        <v>7648</v>
      </c>
      <c r="J12">
        <v>0.42498332962880642</v>
      </c>
      <c r="K12">
        <v>2025</v>
      </c>
      <c r="L12" t="s">
        <v>28</v>
      </c>
    </row>
    <row r="13" spans="1:12" x14ac:dyDescent="0.25">
      <c r="A13" s="1">
        <v>45962</v>
      </c>
      <c r="B13">
        <v>11883</v>
      </c>
      <c r="C13">
        <v>1193998</v>
      </c>
      <c r="D13">
        <v>9.9522779770150373E-3</v>
      </c>
      <c r="E13">
        <v>11071</v>
      </c>
      <c r="F13">
        <v>1.0500000000000001E-2</v>
      </c>
      <c r="G13">
        <v>7.3344774636437542</v>
      </c>
      <c r="H13">
        <v>-5.216400218904413</v>
      </c>
      <c r="I13">
        <v>4857</v>
      </c>
      <c r="J13">
        <v>0.40873516788689718</v>
      </c>
      <c r="K13">
        <v>2025</v>
      </c>
      <c r="L13" t="s">
        <v>29</v>
      </c>
    </row>
    <row r="14" spans="1:12" x14ac:dyDescent="0.25">
      <c r="A14" s="1">
        <v>45992</v>
      </c>
      <c r="B14">
        <v>13222</v>
      </c>
      <c r="C14">
        <v>1221778</v>
      </c>
      <c r="D14">
        <v>1.0821933280841529E-2</v>
      </c>
      <c r="E14">
        <v>11158</v>
      </c>
      <c r="F14">
        <v>0.01</v>
      </c>
      <c r="G14">
        <v>18.49793869869152</v>
      </c>
      <c r="H14">
        <v>8.2193328084152757</v>
      </c>
      <c r="I14">
        <v>6140</v>
      </c>
      <c r="J14">
        <v>0.46437755256390861</v>
      </c>
      <c r="K14">
        <v>2025</v>
      </c>
      <c r="L14" t="s">
        <v>30</v>
      </c>
    </row>
    <row r="15" spans="1:12" x14ac:dyDescent="0.25">
      <c r="B15">
        <f>SUM(B3:B14)</f>
        <v>172990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3"/>
  <sheetViews>
    <sheetView workbookViewId="0">
      <selection activeCell="E23" sqref="E23"/>
    </sheetView>
  </sheetViews>
  <sheetFormatPr defaultRowHeight="15" x14ac:dyDescent="0.25"/>
  <cols>
    <col min="12" max="12" width="29.5703125" customWidth="1"/>
    <col min="13" max="13" width="32.140625" customWidth="1"/>
    <col min="14" max="14" width="29" customWidth="1"/>
  </cols>
  <sheetData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 x14ac:dyDescent="0.25">
      <c r="A3">
        <v>2025</v>
      </c>
      <c r="B3">
        <v>172990</v>
      </c>
      <c r="C3">
        <v>65835</v>
      </c>
      <c r="D3">
        <v>16980270</v>
      </c>
      <c r="E3">
        <v>1.018770608476779E-2</v>
      </c>
      <c r="F3">
        <v>167074</v>
      </c>
      <c r="G3">
        <v>1.0274999999999999E-2</v>
      </c>
      <c r="H3">
        <v>3.540945928151598</v>
      </c>
      <c r="I3">
        <v>-0.84957581734509158</v>
      </c>
      <c r="J3" s="1">
        <v>45925</v>
      </c>
      <c r="K3">
        <v>760</v>
      </c>
      <c r="L3">
        <v>0.99583333333333324</v>
      </c>
      <c r="M3">
        <v>1.7016666666666671</v>
      </c>
      <c r="N3">
        <v>1.32</v>
      </c>
      <c r="O3">
        <v>0.83194166666666669</v>
      </c>
      <c r="P3">
        <v>0.98533333333333328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tabSelected="1" workbookViewId="0"/>
  </sheetViews>
  <sheetFormatPr defaultRowHeight="15" x14ac:dyDescent="0.25"/>
  <sheetData>
    <row r="1" spans="1:4" x14ac:dyDescent="0.25">
      <c r="A1" t="s">
        <v>31</v>
      </c>
      <c r="B1" t="s">
        <v>32</v>
      </c>
      <c r="C1" t="s">
        <v>33</v>
      </c>
      <c r="D1" t="s">
        <v>34</v>
      </c>
    </row>
    <row r="2" spans="1:4" x14ac:dyDescent="0.25">
      <c r="A2">
        <v>2025</v>
      </c>
      <c r="B2">
        <v>172912</v>
      </c>
    </row>
    <row r="3" spans="1:4" x14ac:dyDescent="0.25">
      <c r="A3">
        <v>2024</v>
      </c>
      <c r="B3">
        <v>145560</v>
      </c>
      <c r="C3">
        <v>27352</v>
      </c>
      <c r="D3">
        <v>18.790876614454518</v>
      </c>
    </row>
    <row r="4" spans="1:4" x14ac:dyDescent="0.25">
      <c r="A4">
        <v>2023</v>
      </c>
      <c r="B4">
        <v>121283</v>
      </c>
      <c r="C4">
        <v>51629</v>
      </c>
      <c r="D4">
        <v>42.569032758094707</v>
      </c>
    </row>
    <row r="5" spans="1:4" x14ac:dyDescent="0.25">
      <c r="A5">
        <v>2022</v>
      </c>
      <c r="B5">
        <v>90059</v>
      </c>
      <c r="C5">
        <v>82853</v>
      </c>
      <c r="D5">
        <v>91.998578709512657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Monthly_PRMs</vt:lpstr>
      <vt:lpstr>Yearly_Summary</vt:lpstr>
      <vt:lpstr>3 Year PRM Demand 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2026-03-15T15:24:02Z</dcterms:created>
  <dcterms:modified xsi:type="dcterms:W3CDTF">2026-03-21T10:54:49Z</dcterms:modified>
</cp:coreProperties>
</file>