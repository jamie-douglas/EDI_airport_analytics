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nyx4-my.sharepoint.com/personal/jamie_douglas_edinburghairport_com/Documents/Documents/GitHub/EDI_airport_analytics/output/fastpark/reports/"/>
    </mc:Choice>
  </mc:AlternateContent>
  <xr:revisionPtr revIDLastSave="67" documentId="11_1E3AE404B2A28436337D2D6823ADF02C65546524" xr6:coauthVersionLast="47" xr6:coauthVersionMax="47" xr10:uidLastSave="{440F20FB-8DC8-4F53-8256-6E6B42E8494D}"/>
  <bookViews>
    <workbookView xWindow="14985" yWindow="-21600" windowWidth="26010" windowHeight="20985" activeTab="1" xr2:uid="{00000000-000D-0000-FFFF-FFFF00000000}"/>
  </bookViews>
  <sheets>
    <sheet name="Monthly Movements" sheetId="1" r:id="rId1"/>
    <sheet name="Sheet1" sheetId="7" r:id="rId2"/>
    <sheet name="Summary" sheetId="2" r:id="rId3"/>
    <sheet name="Entry Exit Distribution" sheetId="3" r:id="rId4"/>
    <sheet name="Length of Stay" sheetId="4" r:id="rId5"/>
    <sheet name="Flight Info" sheetId="5" r:id="rId6"/>
    <sheet name="Transaction Growth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I4" i="1"/>
  <c r="I3" i="1"/>
  <c r="G4" i="1"/>
  <c r="G5" i="1"/>
  <c r="G3" i="1"/>
  <c r="E4" i="1" l="1"/>
  <c r="E5" i="1"/>
  <c r="E3" i="1"/>
  <c r="D5" i="1"/>
  <c r="D4" i="1"/>
  <c r="D3" i="1"/>
</calcChain>
</file>

<file path=xl/sharedStrings.xml><?xml version="1.0" encoding="utf-8"?>
<sst xmlns="http://schemas.openxmlformats.org/spreadsheetml/2006/main" count="171" uniqueCount="125">
  <si>
    <t>Month</t>
  </si>
  <si>
    <t>Entries</t>
  </si>
  <si>
    <t>Exits</t>
  </si>
  <si>
    <t>2026-01</t>
  </si>
  <si>
    <t>2026-02</t>
  </si>
  <si>
    <t>2026-03</t>
  </si>
  <si>
    <t>Metric</t>
  </si>
  <si>
    <t>Value</t>
  </si>
  <si>
    <t>Peak Type</t>
  </si>
  <si>
    <t>Date</t>
  </si>
  <si>
    <t>Total</t>
  </si>
  <si>
    <t>Total Transactions (Distinct Bookings)</t>
  </si>
  <si>
    <t>Total Entries</t>
  </si>
  <si>
    <t>Total Exits</t>
  </si>
  <si>
    <t>Entries Validation Passed</t>
  </si>
  <si>
    <t>Exits Validation Passed</t>
  </si>
  <si>
    <t>Average Kiosk Transaction Time (secs)</t>
  </si>
  <si>
    <t>Invalid Duration Count</t>
  </si>
  <si>
    <t>Total Transactions</t>
  </si>
  <si>
    <t>Peak Entries Day</t>
  </si>
  <si>
    <t>07 Feb 2026</t>
  </si>
  <si>
    <t>Peak Exits Day</t>
  </si>
  <si>
    <t>03 Jan 2026</t>
  </si>
  <si>
    <t>Peak Movements Day</t>
  </si>
  <si>
    <t>14 Feb 2026</t>
  </si>
  <si>
    <t>Average Entry Difference (HH:MM)</t>
  </si>
  <si>
    <t>01:31</t>
  </si>
  <si>
    <t>Median Entry Difference (HH:MM)</t>
  </si>
  <si>
    <t>00:14</t>
  </si>
  <si>
    <t>Average Exit Difference (HH:MM)</t>
  </si>
  <si>
    <t>11:12</t>
  </si>
  <si>
    <t>Median Exit Difference (HH:MM)</t>
  </si>
  <si>
    <t>00:37</t>
  </si>
  <si>
    <t>Entry Min (mins)</t>
  </si>
  <si>
    <t>Entry 25th Percentile (mins)</t>
  </si>
  <si>
    <t>Entry 75th Percentile (mins)</t>
  </si>
  <si>
    <t>Entry Max (mins)</t>
  </si>
  <si>
    <t>Exit Min (mins)</t>
  </si>
  <si>
    <t>Exit 25th Percentile (mins)</t>
  </si>
  <si>
    <t>Exit 75th Percentile (mins)</t>
  </si>
  <si>
    <t>Exit Max (mins)</t>
  </si>
  <si>
    <t>Bin Start</t>
  </si>
  <si>
    <t>Bin End</t>
  </si>
  <si>
    <t>Bin Midpoint</t>
  </si>
  <si>
    <t>Entry Count</t>
  </si>
  <si>
    <t>Exit Count</t>
  </si>
  <si>
    <t>Zero Line</t>
  </si>
  <si>
    <t>Avg Entry Line</t>
  </si>
  <si>
    <t>Median Entry Line</t>
  </si>
  <si>
    <t>Avg Exit Line</t>
  </si>
  <si>
    <t>Median Exit Line</t>
  </si>
  <si>
    <t>BookingReference</t>
  </si>
  <si>
    <t>Length of Stay Days</t>
  </si>
  <si>
    <t>Kind</t>
  </si>
  <si>
    <t>Z3OULUH</t>
  </si>
  <si>
    <t>Top 3</t>
  </si>
  <si>
    <t>LD751DR</t>
  </si>
  <si>
    <t>AXF56QZER</t>
  </si>
  <si>
    <t>AX88YV1AP</t>
  </si>
  <si>
    <t>Bottom 3</t>
  </si>
  <si>
    <t>8IU225NYK</t>
  </si>
  <si>
    <t>AXP3AV068</t>
  </si>
  <si>
    <t>Average LOS</t>
  </si>
  <si>
    <t>Average</t>
  </si>
  <si>
    <t>1</t>
  </si>
  <si>
    <t>Bins</t>
  </si>
  <si>
    <t>2</t>
  </si>
  <si>
    <t>3-6</t>
  </si>
  <si>
    <t>7-9</t>
  </si>
  <si>
    <t>10-13</t>
  </si>
  <si>
    <t>14-20</t>
  </si>
  <si>
    <t>21-29</t>
  </si>
  <si>
    <t>30-59</t>
  </si>
  <si>
    <t>60-89</t>
  </si>
  <si>
    <t>Category</t>
  </si>
  <si>
    <t>Name</t>
  </si>
  <si>
    <t>Count</t>
  </si>
  <si>
    <t>Percent</t>
  </si>
  <si>
    <t>Airline</t>
  </si>
  <si>
    <t>RYANAIR</t>
  </si>
  <si>
    <t>JET2</t>
  </si>
  <si>
    <t>EASYJET</t>
  </si>
  <si>
    <t>BRITISH AIRWAYS</t>
  </si>
  <si>
    <t>QATAR AIRWAYS</t>
  </si>
  <si>
    <t>RYANAIR UK</t>
  </si>
  <si>
    <t>EMIRATES</t>
  </si>
  <si>
    <t>KLM</t>
  </si>
  <si>
    <t>UNITED AIRLINES</t>
  </si>
  <si>
    <t>AIR FRANCE</t>
  </si>
  <si>
    <t>TUI AIRWAYS</t>
  </si>
  <si>
    <t>TURKISH AIRLINES</t>
  </si>
  <si>
    <t>AER LINGUS</t>
  </si>
  <si>
    <t>LUFTHANSA</t>
  </si>
  <si>
    <t>LOGANAIR</t>
  </si>
  <si>
    <t>PEGASUS AIRLINES</t>
  </si>
  <si>
    <t>FINNAIR</t>
  </si>
  <si>
    <t>EDELWEISS AIR</t>
  </si>
  <si>
    <t>NORWEGIAN AIR SWEDEN</t>
  </si>
  <si>
    <t>ICELANDAIR</t>
  </si>
  <si>
    <t>VUELING AIRLINES</t>
  </si>
  <si>
    <t>AEGEAN AIRLINES</t>
  </si>
  <si>
    <t>DELTA AIR LINES</t>
  </si>
  <si>
    <t>EUROWINGS</t>
  </si>
  <si>
    <t>HAINAN AIRLINES</t>
  </si>
  <si>
    <t>AMERICAN AIRLINES</t>
  </si>
  <si>
    <t>BRUSSELS AIRLINES</t>
  </si>
  <si>
    <t>AURIGNY AIR SERVICES</t>
  </si>
  <si>
    <t>SAS</t>
  </si>
  <si>
    <t>SUNEXPRESS</t>
  </si>
  <si>
    <t>NORWEGIAN</t>
  </si>
  <si>
    <t>ASL AIRLINES FRANCE</t>
  </si>
  <si>
    <t>Sector</t>
  </si>
  <si>
    <t>International</t>
  </si>
  <si>
    <t>Domestic</t>
  </si>
  <si>
    <t>CTA</t>
  </si>
  <si>
    <t>Period</t>
  </si>
  <si>
    <t>Absolute Change</t>
  </si>
  <si>
    <t>Percent Change</t>
  </si>
  <si>
    <t>B0</t>
  </si>
  <si>
    <t>R1</t>
  </si>
  <si>
    <t>actual</t>
  </si>
  <si>
    <t>booking_entries</t>
  </si>
  <si>
    <t>booking_exits</t>
  </si>
  <si>
    <t>entry_forecast</t>
  </si>
  <si>
    <t>exit_forecast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</si>
</sst>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[$-F800]dddd\,\ mmmm\ dd\,\ yyyy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2" borderId="0" xfId="0" applyNumberFormat="1" applyFill="1"/>
    <xf numFmtId="3" fontId="0" fillId="0" borderId="0" xfId="0" applyNumberFormat="1"/>
    <xf numFmtId="14" fontId="0" fillId="0" borderId="0" xfId="0" applyNumberFormat="1"/>
    <xf numFmtId="0" fontId="0" fillId="3" borderId="0" xfId="0" applyFill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10"/>
  <sheetViews>
    <sheetView workbookViewId="0">
      <selection activeCell="K7" sqref="K7"/>
    </sheetView>
  </sheetViews>
  <sheetFormatPr defaultRowHeight="14.5" x14ac:dyDescent="0.35"/>
  <sheetData>
    <row r="2" spans="1:9" x14ac:dyDescent="0.35">
      <c r="A2" t="s">
        <v>0</v>
      </c>
      <c r="B2" t="s">
        <v>1</v>
      </c>
      <c r="C2" t="s">
        <v>2</v>
      </c>
      <c r="E2" t="s">
        <v>120</v>
      </c>
      <c r="F2" t="s">
        <v>118</v>
      </c>
      <c r="H2" t="s">
        <v>119</v>
      </c>
    </row>
    <row r="3" spans="1:9" x14ac:dyDescent="0.35">
      <c r="A3" t="s">
        <v>3</v>
      </c>
      <c r="B3">
        <v>10130</v>
      </c>
      <c r="C3">
        <v>11674</v>
      </c>
      <c r="D3">
        <f>SUM(B3:C3)</f>
        <v>21804</v>
      </c>
      <c r="E3">
        <f>D3/2</f>
        <v>10902</v>
      </c>
      <c r="F3">
        <v>9842</v>
      </c>
      <c r="G3">
        <f>E3/F3</f>
        <v>1.107701686649055</v>
      </c>
      <c r="H3" s="1">
        <v>12060</v>
      </c>
      <c r="I3">
        <f>E3/H3</f>
        <v>0.90398009950248759</v>
      </c>
    </row>
    <row r="4" spans="1:9" x14ac:dyDescent="0.35">
      <c r="A4" t="s">
        <v>4</v>
      </c>
      <c r="B4">
        <v>12174</v>
      </c>
      <c r="C4">
        <v>11745</v>
      </c>
      <c r="D4">
        <f t="shared" ref="D4" si="0">SUM(B4:C4)</f>
        <v>23919</v>
      </c>
      <c r="E4">
        <f t="shared" ref="E4:E5" si="1">D4/2</f>
        <v>11959.5</v>
      </c>
      <c r="F4">
        <v>10772</v>
      </c>
      <c r="G4">
        <f t="shared" ref="G4:G5" si="2">E4/F4</f>
        <v>1.1102395098403268</v>
      </c>
      <c r="H4" s="1">
        <v>12093</v>
      </c>
      <c r="I4">
        <f t="shared" ref="I4:I5" si="3">E4/H4</f>
        <v>0.98896055569337638</v>
      </c>
    </row>
    <row r="5" spans="1:9" x14ac:dyDescent="0.35">
      <c r="A5" t="s">
        <v>5</v>
      </c>
      <c r="B5">
        <v>10647</v>
      </c>
      <c r="C5">
        <v>10773</v>
      </c>
      <c r="D5">
        <f>SUM(B5:C5)</f>
        <v>21420</v>
      </c>
      <c r="E5">
        <f t="shared" si="1"/>
        <v>10710</v>
      </c>
      <c r="F5">
        <v>14992</v>
      </c>
      <c r="G5">
        <f t="shared" si="2"/>
        <v>0.71438100320170761</v>
      </c>
      <c r="H5" s="1">
        <v>17328</v>
      </c>
      <c r="I5">
        <f>E5/F5</f>
        <v>0.71438100320170761</v>
      </c>
    </row>
    <row r="6" spans="1:9" x14ac:dyDescent="0.35">
      <c r="I6" s="2"/>
    </row>
    <row r="10" spans="1:9" x14ac:dyDescent="0.35">
      <c r="G10" s="1"/>
      <c r="H10" s="1"/>
      <c r="I10" s="1">
        <v>17328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EF67-F774-448D-A0DF-954CB7548FA2}">
  <dimension ref="A1:E61"/>
  <sheetViews>
    <sheetView tabSelected="1" workbookViewId="0">
      <selection activeCell="E12" sqref="E12"/>
    </sheetView>
  </sheetViews>
  <sheetFormatPr defaultRowHeight="14.5" x14ac:dyDescent="0.35"/>
  <cols>
    <col min="1" max="1" width="26.26953125" customWidth="1"/>
    <col min="2" max="2" width="14.90625" customWidth="1"/>
    <col min="3" max="3" width="16.6328125" customWidth="1"/>
    <col min="4" max="4" width="17.453125" customWidth="1"/>
    <col min="5" max="5" width="18.7265625" customWidth="1"/>
  </cols>
  <sheetData>
    <row r="1" spans="1:5" x14ac:dyDescent="0.35">
      <c r="B1" s="4" t="s">
        <v>123</v>
      </c>
      <c r="C1" s="4" t="s">
        <v>124</v>
      </c>
      <c r="D1" t="s">
        <v>121</v>
      </c>
      <c r="E1" t="s">
        <v>122</v>
      </c>
    </row>
    <row r="2" spans="1:5" x14ac:dyDescent="0.35">
      <c r="A2" s="5">
        <v>46109</v>
      </c>
      <c r="B2">
        <v>624</v>
      </c>
      <c r="C2">
        <v>687</v>
      </c>
      <c r="D2">
        <v>555</v>
      </c>
      <c r="E2">
        <v>636</v>
      </c>
    </row>
    <row r="3" spans="1:5" x14ac:dyDescent="0.35">
      <c r="A3" s="5">
        <v>46110</v>
      </c>
      <c r="B3">
        <v>433</v>
      </c>
      <c r="C3">
        <v>514</v>
      </c>
      <c r="D3">
        <v>368</v>
      </c>
      <c r="E3">
        <v>471</v>
      </c>
    </row>
    <row r="4" spans="1:5" x14ac:dyDescent="0.35">
      <c r="A4" s="5">
        <v>46111</v>
      </c>
      <c r="B4">
        <v>471</v>
      </c>
      <c r="C4">
        <v>502</v>
      </c>
      <c r="D4">
        <v>356</v>
      </c>
      <c r="E4">
        <v>424</v>
      </c>
    </row>
    <row r="5" spans="1:5" x14ac:dyDescent="0.35">
      <c r="A5" s="5">
        <v>46112</v>
      </c>
      <c r="B5">
        <v>420</v>
      </c>
      <c r="C5">
        <v>440</v>
      </c>
      <c r="D5">
        <v>304</v>
      </c>
      <c r="E5">
        <v>368</v>
      </c>
    </row>
    <row r="6" spans="1:5" x14ac:dyDescent="0.35">
      <c r="A6" s="5">
        <v>46113</v>
      </c>
      <c r="B6">
        <v>638</v>
      </c>
      <c r="C6">
        <v>388</v>
      </c>
      <c r="D6">
        <v>444</v>
      </c>
      <c r="E6">
        <v>321</v>
      </c>
    </row>
    <row r="7" spans="1:5" x14ac:dyDescent="0.35">
      <c r="A7" s="5">
        <v>46114</v>
      </c>
      <c r="B7">
        <v>668</v>
      </c>
      <c r="C7">
        <v>329</v>
      </c>
      <c r="D7">
        <v>480</v>
      </c>
      <c r="E7">
        <v>290</v>
      </c>
    </row>
    <row r="8" spans="1:5" x14ac:dyDescent="0.35">
      <c r="A8" s="5">
        <v>46115</v>
      </c>
      <c r="B8">
        <v>634</v>
      </c>
      <c r="C8">
        <v>308</v>
      </c>
      <c r="D8">
        <v>470</v>
      </c>
      <c r="E8">
        <v>288</v>
      </c>
    </row>
    <row r="9" spans="1:5" x14ac:dyDescent="0.35">
      <c r="A9" s="5">
        <v>46116</v>
      </c>
      <c r="B9">
        <v>747</v>
      </c>
      <c r="C9">
        <v>434</v>
      </c>
      <c r="D9">
        <v>541</v>
      </c>
      <c r="E9">
        <v>402</v>
      </c>
    </row>
    <row r="10" spans="1:5" x14ac:dyDescent="0.35">
      <c r="A10" s="5">
        <v>46117</v>
      </c>
      <c r="B10">
        <v>525</v>
      </c>
      <c r="C10">
        <v>441</v>
      </c>
      <c r="D10">
        <v>372</v>
      </c>
      <c r="E10">
        <v>405</v>
      </c>
    </row>
    <row r="11" spans="1:5" x14ac:dyDescent="0.35">
      <c r="A11" s="5">
        <v>46118</v>
      </c>
      <c r="B11">
        <v>475</v>
      </c>
      <c r="C11">
        <v>405</v>
      </c>
      <c r="D11">
        <v>330</v>
      </c>
      <c r="E11">
        <v>368</v>
      </c>
    </row>
    <row r="12" spans="1:5" x14ac:dyDescent="0.35">
      <c r="A12" s="5">
        <v>46119</v>
      </c>
      <c r="B12">
        <v>492</v>
      </c>
      <c r="C12">
        <v>389</v>
      </c>
      <c r="D12">
        <v>335</v>
      </c>
      <c r="E12">
        <v>350</v>
      </c>
    </row>
    <row r="13" spans="1:5" x14ac:dyDescent="0.35">
      <c r="A13" s="5">
        <v>46120</v>
      </c>
      <c r="B13">
        <v>558</v>
      </c>
      <c r="C13">
        <v>335</v>
      </c>
      <c r="D13">
        <v>372</v>
      </c>
      <c r="E13">
        <v>299</v>
      </c>
    </row>
    <row r="14" spans="1:5" x14ac:dyDescent="0.35">
      <c r="A14" s="5">
        <v>46121</v>
      </c>
      <c r="B14">
        <v>477</v>
      </c>
      <c r="C14">
        <v>423</v>
      </c>
      <c r="D14">
        <v>312</v>
      </c>
      <c r="E14">
        <v>374</v>
      </c>
    </row>
    <row r="15" spans="1:5" x14ac:dyDescent="0.35">
      <c r="A15" s="5">
        <v>46122</v>
      </c>
      <c r="B15">
        <v>463</v>
      </c>
      <c r="C15">
        <v>408</v>
      </c>
      <c r="D15">
        <v>297</v>
      </c>
      <c r="E15">
        <v>358</v>
      </c>
    </row>
    <row r="16" spans="1:5" x14ac:dyDescent="0.35">
      <c r="A16" s="5">
        <v>46123</v>
      </c>
      <c r="B16">
        <v>671</v>
      </c>
      <c r="C16">
        <v>688</v>
      </c>
      <c r="D16">
        <v>389</v>
      </c>
      <c r="E16">
        <v>412</v>
      </c>
    </row>
    <row r="17" spans="1:5" x14ac:dyDescent="0.35">
      <c r="A17" s="5">
        <v>46124</v>
      </c>
      <c r="B17">
        <v>433</v>
      </c>
      <c r="C17">
        <v>683</v>
      </c>
      <c r="D17">
        <v>245</v>
      </c>
      <c r="E17">
        <v>523</v>
      </c>
    </row>
    <row r="18" spans="1:5" x14ac:dyDescent="0.35">
      <c r="A18" s="5">
        <v>46125</v>
      </c>
      <c r="B18">
        <v>528</v>
      </c>
      <c r="C18">
        <v>651</v>
      </c>
      <c r="D18">
        <v>259</v>
      </c>
      <c r="E18">
        <v>382</v>
      </c>
    </row>
    <row r="19" spans="1:5" x14ac:dyDescent="0.35">
      <c r="A19" s="5">
        <v>46126</v>
      </c>
      <c r="B19">
        <v>549</v>
      </c>
      <c r="C19">
        <v>604</v>
      </c>
      <c r="D19">
        <v>219</v>
      </c>
      <c r="E19">
        <v>327</v>
      </c>
    </row>
    <row r="20" spans="1:5" x14ac:dyDescent="0.35">
      <c r="A20" s="5">
        <v>46127</v>
      </c>
      <c r="B20">
        <v>690</v>
      </c>
      <c r="C20">
        <v>613</v>
      </c>
      <c r="D20">
        <v>234</v>
      </c>
      <c r="E20">
        <v>319</v>
      </c>
    </row>
    <row r="21" spans="1:5" x14ac:dyDescent="0.35">
      <c r="A21" s="5">
        <v>46128</v>
      </c>
      <c r="B21">
        <v>559</v>
      </c>
      <c r="C21">
        <v>558</v>
      </c>
      <c r="D21">
        <v>182</v>
      </c>
      <c r="E21">
        <v>386</v>
      </c>
    </row>
    <row r="22" spans="1:5" x14ac:dyDescent="0.35">
      <c r="A22" s="5">
        <v>46129</v>
      </c>
      <c r="B22">
        <v>551</v>
      </c>
      <c r="C22">
        <v>549</v>
      </c>
      <c r="D22">
        <v>200</v>
      </c>
      <c r="E22">
        <v>319</v>
      </c>
    </row>
    <row r="23" spans="1:5" x14ac:dyDescent="0.35">
      <c r="A23" s="5">
        <v>46130</v>
      </c>
      <c r="B23">
        <v>643</v>
      </c>
      <c r="C23">
        <v>700</v>
      </c>
      <c r="D23">
        <v>269</v>
      </c>
      <c r="E23">
        <v>371</v>
      </c>
    </row>
    <row r="24" spans="1:5" x14ac:dyDescent="0.35">
      <c r="A24" s="5">
        <v>46131</v>
      </c>
      <c r="B24">
        <v>413</v>
      </c>
      <c r="C24">
        <v>679</v>
      </c>
      <c r="D24">
        <v>186</v>
      </c>
      <c r="E24">
        <v>458</v>
      </c>
    </row>
    <row r="25" spans="1:5" x14ac:dyDescent="0.35">
      <c r="A25" s="5">
        <v>46132</v>
      </c>
      <c r="B25">
        <v>555</v>
      </c>
      <c r="C25">
        <v>641</v>
      </c>
      <c r="D25">
        <v>241</v>
      </c>
      <c r="E25">
        <v>278</v>
      </c>
    </row>
    <row r="26" spans="1:5" x14ac:dyDescent="0.35">
      <c r="A26" s="5">
        <v>46133</v>
      </c>
      <c r="B26">
        <v>666</v>
      </c>
      <c r="C26">
        <v>697</v>
      </c>
      <c r="D26">
        <v>198</v>
      </c>
      <c r="E26">
        <v>207</v>
      </c>
    </row>
    <row r="27" spans="1:5" x14ac:dyDescent="0.35">
      <c r="A27" s="5">
        <v>46134</v>
      </c>
      <c r="B27">
        <v>813</v>
      </c>
      <c r="C27">
        <v>677</v>
      </c>
      <c r="D27">
        <v>263</v>
      </c>
      <c r="E27">
        <v>177</v>
      </c>
    </row>
    <row r="28" spans="1:5" x14ac:dyDescent="0.35">
      <c r="A28" s="5">
        <v>46135</v>
      </c>
      <c r="B28">
        <v>581</v>
      </c>
      <c r="C28">
        <v>579</v>
      </c>
      <c r="D28">
        <v>194</v>
      </c>
      <c r="E28">
        <v>237</v>
      </c>
    </row>
    <row r="29" spans="1:5" x14ac:dyDescent="0.35">
      <c r="A29" s="5">
        <v>46136</v>
      </c>
      <c r="B29">
        <v>580</v>
      </c>
      <c r="C29">
        <v>550</v>
      </c>
      <c r="D29">
        <v>185</v>
      </c>
      <c r="E29">
        <v>185</v>
      </c>
    </row>
    <row r="30" spans="1:5" x14ac:dyDescent="0.35">
      <c r="A30" s="5">
        <v>46137</v>
      </c>
      <c r="B30">
        <v>710</v>
      </c>
      <c r="C30">
        <v>701</v>
      </c>
      <c r="D30">
        <v>264</v>
      </c>
      <c r="E30">
        <v>222</v>
      </c>
    </row>
    <row r="31" spans="1:5" x14ac:dyDescent="0.35">
      <c r="A31" s="5">
        <v>46138</v>
      </c>
      <c r="B31">
        <v>467</v>
      </c>
      <c r="C31">
        <v>712</v>
      </c>
      <c r="D31">
        <v>163</v>
      </c>
      <c r="E31">
        <v>289</v>
      </c>
    </row>
    <row r="32" spans="1:5" x14ac:dyDescent="0.35">
      <c r="A32" s="5">
        <v>46139</v>
      </c>
      <c r="B32">
        <v>601</v>
      </c>
      <c r="C32">
        <v>699</v>
      </c>
      <c r="D32">
        <v>169</v>
      </c>
      <c r="E32">
        <v>243</v>
      </c>
    </row>
    <row r="33" spans="1:5" x14ac:dyDescent="0.35">
      <c r="A33" s="5">
        <v>46140</v>
      </c>
      <c r="B33">
        <v>603</v>
      </c>
      <c r="C33">
        <v>647</v>
      </c>
      <c r="D33">
        <v>146</v>
      </c>
      <c r="E33">
        <v>227</v>
      </c>
    </row>
    <row r="34" spans="1:5" x14ac:dyDescent="0.35">
      <c r="A34" s="5">
        <v>46141</v>
      </c>
      <c r="B34">
        <v>805</v>
      </c>
      <c r="C34">
        <v>645</v>
      </c>
      <c r="D34">
        <v>256</v>
      </c>
      <c r="E34">
        <v>163</v>
      </c>
    </row>
    <row r="35" spans="1:5" x14ac:dyDescent="0.35">
      <c r="A35" s="5">
        <v>46142</v>
      </c>
      <c r="B35">
        <v>610</v>
      </c>
      <c r="C35">
        <v>557</v>
      </c>
      <c r="D35">
        <v>209</v>
      </c>
      <c r="E35">
        <v>191</v>
      </c>
    </row>
    <row r="36" spans="1:5" x14ac:dyDescent="0.35">
      <c r="A36" s="5">
        <v>46143</v>
      </c>
      <c r="B36">
        <v>580</v>
      </c>
      <c r="C36">
        <v>522</v>
      </c>
      <c r="D36">
        <v>228</v>
      </c>
      <c r="E36">
        <v>188</v>
      </c>
    </row>
    <row r="37" spans="1:5" x14ac:dyDescent="0.35">
      <c r="A37" s="5">
        <v>46144</v>
      </c>
      <c r="B37">
        <v>746</v>
      </c>
      <c r="C37">
        <v>635</v>
      </c>
      <c r="D37">
        <v>318</v>
      </c>
      <c r="E37">
        <v>181</v>
      </c>
    </row>
    <row r="38" spans="1:5" x14ac:dyDescent="0.35">
      <c r="A38" s="5">
        <v>46145</v>
      </c>
      <c r="B38">
        <v>460</v>
      </c>
      <c r="C38">
        <v>629</v>
      </c>
      <c r="D38">
        <v>183</v>
      </c>
      <c r="E38">
        <v>241</v>
      </c>
    </row>
    <row r="39" spans="1:5" x14ac:dyDescent="0.35">
      <c r="A39" s="5">
        <v>46146</v>
      </c>
      <c r="B39">
        <v>583</v>
      </c>
      <c r="C39">
        <v>607</v>
      </c>
      <c r="D39">
        <v>232</v>
      </c>
      <c r="E39">
        <v>191</v>
      </c>
    </row>
    <row r="40" spans="1:5" x14ac:dyDescent="0.35">
      <c r="A40" s="5">
        <v>46147</v>
      </c>
      <c r="B40">
        <v>621</v>
      </c>
      <c r="C40">
        <v>587</v>
      </c>
      <c r="D40">
        <v>206</v>
      </c>
      <c r="E40">
        <v>180</v>
      </c>
    </row>
    <row r="41" spans="1:5" x14ac:dyDescent="0.35">
      <c r="A41" s="5">
        <v>46148</v>
      </c>
      <c r="B41">
        <v>713</v>
      </c>
      <c r="C41">
        <v>524</v>
      </c>
      <c r="D41">
        <v>242</v>
      </c>
      <c r="E41">
        <v>188</v>
      </c>
    </row>
    <row r="42" spans="1:5" x14ac:dyDescent="0.35">
      <c r="A42" s="5">
        <v>46149</v>
      </c>
      <c r="B42">
        <v>603</v>
      </c>
      <c r="C42">
        <v>511</v>
      </c>
      <c r="D42">
        <v>224</v>
      </c>
      <c r="E42">
        <v>210</v>
      </c>
    </row>
    <row r="43" spans="1:5" x14ac:dyDescent="0.35">
      <c r="A43" s="5">
        <v>46150</v>
      </c>
      <c r="B43">
        <v>558</v>
      </c>
      <c r="C43">
        <v>533</v>
      </c>
      <c r="D43">
        <v>203</v>
      </c>
      <c r="E43">
        <v>190</v>
      </c>
    </row>
    <row r="44" spans="1:5" x14ac:dyDescent="0.35">
      <c r="A44" s="5">
        <v>46151</v>
      </c>
      <c r="B44">
        <v>720</v>
      </c>
      <c r="C44">
        <v>662</v>
      </c>
      <c r="D44">
        <v>296</v>
      </c>
      <c r="E44">
        <v>222</v>
      </c>
    </row>
    <row r="45" spans="1:5" x14ac:dyDescent="0.35">
      <c r="A45" s="3">
        <v>46152</v>
      </c>
      <c r="B45">
        <v>460</v>
      </c>
      <c r="C45">
        <v>674</v>
      </c>
      <c r="D45">
        <v>208</v>
      </c>
      <c r="E45">
        <v>279</v>
      </c>
    </row>
    <row r="46" spans="1:5" x14ac:dyDescent="0.35">
      <c r="A46" s="3">
        <v>46153</v>
      </c>
      <c r="B46">
        <v>571</v>
      </c>
      <c r="C46">
        <v>611</v>
      </c>
      <c r="D46">
        <v>214</v>
      </c>
      <c r="E46">
        <v>215</v>
      </c>
    </row>
    <row r="47" spans="1:5" x14ac:dyDescent="0.35">
      <c r="A47" s="3">
        <v>46154</v>
      </c>
      <c r="B47">
        <v>613</v>
      </c>
      <c r="C47">
        <v>590</v>
      </c>
      <c r="D47">
        <v>187</v>
      </c>
      <c r="E47">
        <v>208</v>
      </c>
    </row>
    <row r="48" spans="1:5" x14ac:dyDescent="0.35">
      <c r="A48" s="3">
        <v>46155</v>
      </c>
      <c r="B48">
        <v>728</v>
      </c>
      <c r="C48">
        <v>560</v>
      </c>
      <c r="D48">
        <v>226</v>
      </c>
      <c r="E48">
        <v>197</v>
      </c>
    </row>
    <row r="49" spans="1:5" x14ac:dyDescent="0.35">
      <c r="A49" s="3">
        <v>46156</v>
      </c>
      <c r="B49">
        <v>633</v>
      </c>
      <c r="C49">
        <v>553</v>
      </c>
      <c r="D49">
        <v>187</v>
      </c>
      <c r="E49">
        <v>204</v>
      </c>
    </row>
    <row r="50" spans="1:5" x14ac:dyDescent="0.35">
      <c r="A50" s="3">
        <v>46157</v>
      </c>
      <c r="B50">
        <v>577</v>
      </c>
      <c r="C50">
        <v>561</v>
      </c>
      <c r="D50">
        <v>228</v>
      </c>
      <c r="E50">
        <v>208</v>
      </c>
    </row>
    <row r="51" spans="1:5" x14ac:dyDescent="0.35">
      <c r="A51" s="3">
        <v>46158</v>
      </c>
      <c r="B51">
        <v>727</v>
      </c>
      <c r="C51">
        <v>697</v>
      </c>
      <c r="D51">
        <v>302</v>
      </c>
      <c r="E51">
        <v>222</v>
      </c>
    </row>
    <row r="52" spans="1:5" x14ac:dyDescent="0.35">
      <c r="A52" s="3">
        <v>46159</v>
      </c>
      <c r="B52">
        <v>477</v>
      </c>
      <c r="C52">
        <v>709</v>
      </c>
      <c r="D52">
        <v>191</v>
      </c>
      <c r="E52">
        <v>283</v>
      </c>
    </row>
    <row r="53" spans="1:5" x14ac:dyDescent="0.35">
      <c r="A53" s="3">
        <v>46160</v>
      </c>
      <c r="B53">
        <v>599</v>
      </c>
      <c r="C53">
        <v>642</v>
      </c>
      <c r="D53">
        <v>194</v>
      </c>
      <c r="E53">
        <v>208</v>
      </c>
    </row>
    <row r="54" spans="1:5" x14ac:dyDescent="0.35">
      <c r="A54" s="3">
        <v>46161</v>
      </c>
      <c r="B54">
        <v>648</v>
      </c>
      <c r="C54">
        <v>608</v>
      </c>
      <c r="D54">
        <v>177</v>
      </c>
      <c r="E54">
        <v>229</v>
      </c>
    </row>
    <row r="55" spans="1:5" x14ac:dyDescent="0.35">
      <c r="A55" s="3">
        <v>46162</v>
      </c>
      <c r="B55">
        <v>759</v>
      </c>
      <c r="C55">
        <v>589</v>
      </c>
      <c r="D55">
        <v>234</v>
      </c>
      <c r="E55">
        <v>180</v>
      </c>
    </row>
    <row r="56" spans="1:5" x14ac:dyDescent="0.35">
      <c r="A56" s="3">
        <v>46163</v>
      </c>
      <c r="B56">
        <v>661</v>
      </c>
      <c r="C56">
        <v>576</v>
      </c>
      <c r="D56">
        <v>221</v>
      </c>
      <c r="E56">
        <v>202</v>
      </c>
    </row>
    <row r="57" spans="1:5" x14ac:dyDescent="0.35">
      <c r="A57" s="3">
        <v>46164</v>
      </c>
      <c r="B57">
        <v>596</v>
      </c>
      <c r="C57">
        <v>575</v>
      </c>
      <c r="D57">
        <v>264</v>
      </c>
      <c r="E57">
        <v>204</v>
      </c>
    </row>
    <row r="58" spans="1:5" x14ac:dyDescent="0.35">
      <c r="A58" s="3">
        <v>46165</v>
      </c>
      <c r="B58">
        <v>770</v>
      </c>
      <c r="C58">
        <v>749</v>
      </c>
      <c r="D58">
        <v>341</v>
      </c>
      <c r="E58">
        <v>230</v>
      </c>
    </row>
    <row r="59" spans="1:5" x14ac:dyDescent="0.35">
      <c r="A59" s="3">
        <v>46166</v>
      </c>
      <c r="B59">
        <v>472</v>
      </c>
      <c r="C59">
        <v>708</v>
      </c>
      <c r="D59">
        <v>208</v>
      </c>
      <c r="E59">
        <v>308</v>
      </c>
    </row>
    <row r="60" spans="1:5" x14ac:dyDescent="0.35">
      <c r="A60" s="3">
        <v>46167</v>
      </c>
      <c r="B60">
        <v>609</v>
      </c>
      <c r="C60">
        <v>660</v>
      </c>
      <c r="D60">
        <v>183</v>
      </c>
      <c r="E60">
        <v>184</v>
      </c>
    </row>
    <row r="61" spans="1:5" x14ac:dyDescent="0.35">
      <c r="A61" s="3">
        <v>46168</v>
      </c>
      <c r="B61">
        <v>664</v>
      </c>
      <c r="C61">
        <v>637</v>
      </c>
      <c r="D61">
        <v>174</v>
      </c>
      <c r="E61">
        <v>217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25"/>
  <sheetViews>
    <sheetView workbookViewId="0"/>
  </sheetViews>
  <sheetFormatPr defaultRowHeight="14.5" x14ac:dyDescent="0.35"/>
  <cols>
    <col min="1" max="1" width="36.453125" customWidth="1"/>
    <col min="2" max="2" width="18.54296875" customWidth="1"/>
  </cols>
  <sheetData>
    <row r="2" spans="1:5" x14ac:dyDescent="0.35">
      <c r="A2" t="s">
        <v>6</v>
      </c>
      <c r="B2" t="s">
        <v>7</v>
      </c>
      <c r="C2" t="s">
        <v>8</v>
      </c>
      <c r="D2" t="s">
        <v>9</v>
      </c>
      <c r="E2" t="s">
        <v>10</v>
      </c>
    </row>
    <row r="3" spans="1:5" x14ac:dyDescent="0.35">
      <c r="A3" t="s">
        <v>11</v>
      </c>
      <c r="B3">
        <v>37099</v>
      </c>
    </row>
    <row r="4" spans="1:5" x14ac:dyDescent="0.35">
      <c r="A4" t="s">
        <v>12</v>
      </c>
      <c r="B4">
        <v>32951</v>
      </c>
    </row>
    <row r="5" spans="1:5" x14ac:dyDescent="0.35">
      <c r="A5" t="s">
        <v>13</v>
      </c>
      <c r="B5">
        <v>34192</v>
      </c>
    </row>
    <row r="6" spans="1:5" x14ac:dyDescent="0.35">
      <c r="A6" t="s">
        <v>14</v>
      </c>
      <c r="B6">
        <v>1</v>
      </c>
    </row>
    <row r="7" spans="1:5" x14ac:dyDescent="0.35">
      <c r="A7" t="s">
        <v>15</v>
      </c>
      <c r="B7">
        <v>1</v>
      </c>
    </row>
    <row r="8" spans="1:5" x14ac:dyDescent="0.35">
      <c r="A8" t="s">
        <v>16</v>
      </c>
      <c r="B8">
        <v>26.2436713124448</v>
      </c>
    </row>
    <row r="9" spans="1:5" x14ac:dyDescent="0.35">
      <c r="A9" t="s">
        <v>17</v>
      </c>
      <c r="B9">
        <v>5</v>
      </c>
    </row>
    <row r="10" spans="1:5" x14ac:dyDescent="0.35">
      <c r="A10" t="s">
        <v>18</v>
      </c>
      <c r="B10">
        <v>66804</v>
      </c>
    </row>
    <row r="11" spans="1:5" x14ac:dyDescent="0.35">
      <c r="C11" t="s">
        <v>19</v>
      </c>
      <c r="D11" t="s">
        <v>20</v>
      </c>
      <c r="E11">
        <v>711</v>
      </c>
    </row>
    <row r="12" spans="1:5" x14ac:dyDescent="0.35">
      <c r="C12" t="s">
        <v>21</v>
      </c>
      <c r="D12" t="s">
        <v>22</v>
      </c>
      <c r="E12">
        <v>812</v>
      </c>
    </row>
    <row r="13" spans="1:5" x14ac:dyDescent="0.35">
      <c r="C13" t="s">
        <v>23</v>
      </c>
      <c r="D13" t="s">
        <v>24</v>
      </c>
      <c r="E13">
        <v>1251</v>
      </c>
    </row>
    <row r="14" spans="1:5" x14ac:dyDescent="0.35">
      <c r="A14" t="s">
        <v>25</v>
      </c>
      <c r="B14" t="s">
        <v>26</v>
      </c>
    </row>
    <row r="15" spans="1:5" x14ac:dyDescent="0.35">
      <c r="A15" t="s">
        <v>27</v>
      </c>
      <c r="B15" t="s">
        <v>28</v>
      </c>
    </row>
    <row r="16" spans="1:5" x14ac:dyDescent="0.35">
      <c r="A16" t="s">
        <v>29</v>
      </c>
      <c r="B16" t="s">
        <v>30</v>
      </c>
    </row>
    <row r="17" spans="1:2" x14ac:dyDescent="0.35">
      <c r="A17" t="s">
        <v>31</v>
      </c>
      <c r="B17" t="s">
        <v>32</v>
      </c>
    </row>
    <row r="18" spans="1:2" x14ac:dyDescent="0.35">
      <c r="A18" t="s">
        <v>33</v>
      </c>
      <c r="B18">
        <v>-44351.35</v>
      </c>
    </row>
    <row r="19" spans="1:2" x14ac:dyDescent="0.35">
      <c r="A19" t="s">
        <v>34</v>
      </c>
      <c r="B19">
        <v>-4.6916666666666664</v>
      </c>
    </row>
    <row r="20" spans="1:2" x14ac:dyDescent="0.35">
      <c r="A20" t="s">
        <v>35</v>
      </c>
      <c r="B20">
        <v>37.091666666666669</v>
      </c>
    </row>
    <row r="21" spans="1:2" x14ac:dyDescent="0.35">
      <c r="A21" t="s">
        <v>36</v>
      </c>
      <c r="B21">
        <v>1668052.166666667</v>
      </c>
    </row>
    <row r="22" spans="1:2" x14ac:dyDescent="0.35">
      <c r="A22" t="s">
        <v>37</v>
      </c>
      <c r="B22">
        <v>-397902</v>
      </c>
    </row>
    <row r="23" spans="1:2" x14ac:dyDescent="0.35">
      <c r="A23" t="s">
        <v>38</v>
      </c>
      <c r="B23">
        <v>19</v>
      </c>
    </row>
    <row r="24" spans="1:2" x14ac:dyDescent="0.35">
      <c r="A24" t="s">
        <v>39</v>
      </c>
      <c r="B24">
        <v>61</v>
      </c>
    </row>
    <row r="25" spans="1:2" x14ac:dyDescent="0.35">
      <c r="A25" t="s">
        <v>40</v>
      </c>
      <c r="B25">
        <v>2067995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12"/>
  <sheetViews>
    <sheetView workbookViewId="0"/>
  </sheetViews>
  <sheetFormatPr defaultRowHeight="14.5" x14ac:dyDescent="0.35"/>
  <sheetData>
    <row r="2" spans="1:10" x14ac:dyDescent="0.35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</row>
    <row r="3" spans="1:10" x14ac:dyDescent="0.35">
      <c r="A3">
        <v>-99999</v>
      </c>
      <c r="B3">
        <v>-180</v>
      </c>
      <c r="C3">
        <v>-50089.5</v>
      </c>
      <c r="D3">
        <v>407</v>
      </c>
      <c r="E3">
        <v>425</v>
      </c>
      <c r="F3">
        <v>0</v>
      </c>
      <c r="G3">
        <v>91.787746323547765</v>
      </c>
      <c r="H3">
        <v>14.33333333333333</v>
      </c>
      <c r="I3">
        <v>672.18691506785217</v>
      </c>
      <c r="J3">
        <v>37</v>
      </c>
    </row>
    <row r="4" spans="1:10" x14ac:dyDescent="0.35">
      <c r="A4">
        <v>-180</v>
      </c>
      <c r="B4">
        <v>-120</v>
      </c>
      <c r="C4">
        <v>-150</v>
      </c>
      <c r="D4">
        <v>330</v>
      </c>
      <c r="E4">
        <v>77</v>
      </c>
      <c r="F4">
        <v>0</v>
      </c>
      <c r="G4">
        <v>91.787746323547765</v>
      </c>
      <c r="H4">
        <v>14.33333333333333</v>
      </c>
      <c r="I4">
        <v>672.18691506785217</v>
      </c>
      <c r="J4">
        <v>37</v>
      </c>
    </row>
    <row r="5" spans="1:10" x14ac:dyDescent="0.35">
      <c r="A5">
        <v>-120</v>
      </c>
      <c r="B5">
        <v>-60</v>
      </c>
      <c r="C5">
        <v>-90</v>
      </c>
      <c r="D5">
        <v>1355</v>
      </c>
      <c r="E5">
        <v>88</v>
      </c>
      <c r="F5">
        <v>0</v>
      </c>
      <c r="G5">
        <v>91.787746323547765</v>
      </c>
      <c r="H5">
        <v>14.33333333333333</v>
      </c>
      <c r="I5">
        <v>672.18691506785217</v>
      </c>
      <c r="J5">
        <v>37</v>
      </c>
    </row>
    <row r="6" spans="1:10" x14ac:dyDescent="0.35">
      <c r="A6">
        <v>-60</v>
      </c>
      <c r="B6">
        <v>-30</v>
      </c>
      <c r="C6">
        <v>-45</v>
      </c>
      <c r="D6">
        <v>3627</v>
      </c>
      <c r="E6">
        <v>109</v>
      </c>
      <c r="F6">
        <v>0</v>
      </c>
      <c r="G6">
        <v>91.787746323547765</v>
      </c>
      <c r="H6">
        <v>14.33333333333333</v>
      </c>
      <c r="I6">
        <v>672.18691506785217</v>
      </c>
      <c r="J6">
        <v>37</v>
      </c>
    </row>
    <row r="7" spans="1:10" x14ac:dyDescent="0.35">
      <c r="A7">
        <v>-30</v>
      </c>
      <c r="B7">
        <v>0</v>
      </c>
      <c r="C7">
        <v>-15</v>
      </c>
      <c r="D7">
        <v>14519</v>
      </c>
      <c r="E7">
        <v>1401</v>
      </c>
      <c r="F7">
        <v>0</v>
      </c>
      <c r="G7">
        <v>91.787746323547765</v>
      </c>
      <c r="H7">
        <v>14.33333333333333</v>
      </c>
      <c r="I7">
        <v>672.18691506785217</v>
      </c>
      <c r="J7">
        <v>37</v>
      </c>
    </row>
    <row r="8" spans="1:10" x14ac:dyDescent="0.35">
      <c r="A8">
        <v>0</v>
      </c>
      <c r="B8">
        <v>30</v>
      </c>
      <c r="C8">
        <v>15</v>
      </c>
      <c r="D8">
        <v>25477</v>
      </c>
      <c r="E8">
        <v>11462</v>
      </c>
      <c r="F8">
        <v>0</v>
      </c>
      <c r="G8">
        <v>91.787746323547765</v>
      </c>
      <c r="H8">
        <v>14.33333333333333</v>
      </c>
      <c r="I8">
        <v>672.18691506785217</v>
      </c>
      <c r="J8">
        <v>37</v>
      </c>
    </row>
    <row r="9" spans="1:10" x14ac:dyDescent="0.35">
      <c r="A9">
        <v>30</v>
      </c>
      <c r="B9">
        <v>60</v>
      </c>
      <c r="C9">
        <v>45</v>
      </c>
      <c r="D9">
        <v>13111</v>
      </c>
      <c r="E9">
        <v>11837</v>
      </c>
      <c r="F9">
        <v>0</v>
      </c>
      <c r="G9">
        <v>91.787746323547765</v>
      </c>
      <c r="H9">
        <v>14.33333333333333</v>
      </c>
      <c r="I9">
        <v>672.18691506785217</v>
      </c>
      <c r="J9">
        <v>37</v>
      </c>
    </row>
    <row r="10" spans="1:10" x14ac:dyDescent="0.35">
      <c r="A10">
        <v>60</v>
      </c>
      <c r="B10">
        <v>120</v>
      </c>
      <c r="C10">
        <v>90</v>
      </c>
      <c r="D10">
        <v>6191</v>
      </c>
      <c r="E10">
        <v>6233</v>
      </c>
      <c r="F10">
        <v>0</v>
      </c>
      <c r="G10">
        <v>91.787746323547765</v>
      </c>
      <c r="H10">
        <v>14.33333333333333</v>
      </c>
      <c r="I10">
        <v>672.18691506785217</v>
      </c>
      <c r="J10">
        <v>37</v>
      </c>
    </row>
    <row r="11" spans="1:10" x14ac:dyDescent="0.35">
      <c r="A11">
        <v>120</v>
      </c>
      <c r="B11">
        <v>180</v>
      </c>
      <c r="C11">
        <v>150</v>
      </c>
      <c r="D11">
        <v>879</v>
      </c>
      <c r="E11">
        <v>977</v>
      </c>
      <c r="F11">
        <v>0</v>
      </c>
      <c r="G11">
        <v>91.787746323547765</v>
      </c>
      <c r="H11">
        <v>14.33333333333333</v>
      </c>
      <c r="I11">
        <v>672.18691506785217</v>
      </c>
      <c r="J11">
        <v>37</v>
      </c>
    </row>
    <row r="12" spans="1:10" x14ac:dyDescent="0.35">
      <c r="A12">
        <v>180</v>
      </c>
      <c r="B12">
        <v>99999</v>
      </c>
      <c r="C12">
        <v>50089.5</v>
      </c>
      <c r="D12">
        <v>900</v>
      </c>
      <c r="E12">
        <v>1553</v>
      </c>
      <c r="F12">
        <v>0</v>
      </c>
      <c r="G12">
        <v>91.787746323547765</v>
      </c>
      <c r="H12">
        <v>14.33333333333333</v>
      </c>
      <c r="I12">
        <v>672.18691506785217</v>
      </c>
      <c r="J12">
        <v>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18"/>
  <sheetViews>
    <sheetView workbookViewId="0"/>
  </sheetViews>
  <sheetFormatPr defaultRowHeight="14.5" x14ac:dyDescent="0.35"/>
  <sheetData>
    <row r="2" spans="1:3" x14ac:dyDescent="0.35">
      <c r="A2" t="s">
        <v>51</v>
      </c>
      <c r="B2" t="s">
        <v>52</v>
      </c>
      <c r="C2" t="s">
        <v>53</v>
      </c>
    </row>
    <row r="3" spans="1:3" x14ac:dyDescent="0.35">
      <c r="A3" t="s">
        <v>54</v>
      </c>
      <c r="B3">
        <v>89.226342592592587</v>
      </c>
      <c r="C3" t="s">
        <v>55</v>
      </c>
    </row>
    <row r="4" spans="1:3" x14ac:dyDescent="0.35">
      <c r="A4" t="s">
        <v>56</v>
      </c>
      <c r="B4">
        <v>83.852326388888883</v>
      </c>
      <c r="C4" t="s">
        <v>55</v>
      </c>
    </row>
    <row r="5" spans="1:3" x14ac:dyDescent="0.35">
      <c r="A5" t="s">
        <v>57</v>
      </c>
      <c r="B5">
        <v>75.662997685185189</v>
      </c>
      <c r="C5" t="s">
        <v>55</v>
      </c>
    </row>
    <row r="6" spans="1:3" x14ac:dyDescent="0.35">
      <c r="A6" t="s">
        <v>58</v>
      </c>
      <c r="B6">
        <v>8.4953703703703701E-3</v>
      </c>
      <c r="C6" t="s">
        <v>59</v>
      </c>
    </row>
    <row r="7" spans="1:3" x14ac:dyDescent="0.35">
      <c r="A7" t="s">
        <v>60</v>
      </c>
      <c r="B7">
        <v>1.3032407407407409E-2</v>
      </c>
      <c r="C7" t="s">
        <v>59</v>
      </c>
    </row>
    <row r="8" spans="1:3" x14ac:dyDescent="0.35">
      <c r="A8" t="s">
        <v>61</v>
      </c>
      <c r="B8">
        <v>1.381944444444444E-2</v>
      </c>
      <c r="C8" t="s">
        <v>59</v>
      </c>
    </row>
    <row r="9" spans="1:3" x14ac:dyDescent="0.35">
      <c r="A9" t="s">
        <v>62</v>
      </c>
      <c r="B9">
        <v>7.4693465157043724</v>
      </c>
      <c r="C9" t="s">
        <v>63</v>
      </c>
    </row>
    <row r="10" spans="1:3" x14ac:dyDescent="0.35">
      <c r="A10" t="s">
        <v>64</v>
      </c>
      <c r="B10">
        <v>678</v>
      </c>
      <c r="C10" t="s">
        <v>65</v>
      </c>
    </row>
    <row r="11" spans="1:3" x14ac:dyDescent="0.35">
      <c r="A11" t="s">
        <v>66</v>
      </c>
      <c r="B11">
        <v>1411</v>
      </c>
      <c r="C11" t="s">
        <v>65</v>
      </c>
    </row>
    <row r="12" spans="1:3" x14ac:dyDescent="0.35">
      <c r="A12" t="s">
        <v>67</v>
      </c>
      <c r="B12">
        <v>13191</v>
      </c>
      <c r="C12" t="s">
        <v>65</v>
      </c>
    </row>
    <row r="13" spans="1:3" x14ac:dyDescent="0.35">
      <c r="A13" t="s">
        <v>68</v>
      </c>
      <c r="B13">
        <v>12639</v>
      </c>
      <c r="C13" t="s">
        <v>65</v>
      </c>
    </row>
    <row r="14" spans="1:3" x14ac:dyDescent="0.35">
      <c r="A14" t="s">
        <v>69</v>
      </c>
      <c r="B14">
        <v>2831</v>
      </c>
      <c r="C14" t="s">
        <v>65</v>
      </c>
    </row>
    <row r="15" spans="1:3" x14ac:dyDescent="0.35">
      <c r="A15" t="s">
        <v>70</v>
      </c>
      <c r="B15">
        <v>2280</v>
      </c>
      <c r="C15" t="s">
        <v>65</v>
      </c>
    </row>
    <row r="16" spans="1:3" x14ac:dyDescent="0.35">
      <c r="A16" t="s">
        <v>71</v>
      </c>
      <c r="B16">
        <v>620</v>
      </c>
      <c r="C16" t="s">
        <v>65</v>
      </c>
    </row>
    <row r="17" spans="1:3" x14ac:dyDescent="0.35">
      <c r="A17" t="s">
        <v>72</v>
      </c>
      <c r="B17">
        <v>152</v>
      </c>
      <c r="C17" t="s">
        <v>65</v>
      </c>
    </row>
    <row r="18" spans="1:3" x14ac:dyDescent="0.35">
      <c r="A18" t="s">
        <v>73</v>
      </c>
      <c r="B18">
        <v>13</v>
      </c>
      <c r="C18" t="s">
        <v>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D37"/>
  <sheetViews>
    <sheetView workbookViewId="0"/>
  </sheetViews>
  <sheetFormatPr defaultRowHeight="14.5" x14ac:dyDescent="0.35"/>
  <sheetData>
    <row r="2" spans="1:4" x14ac:dyDescent="0.35">
      <c r="A2" t="s">
        <v>74</v>
      </c>
      <c r="B2" t="s">
        <v>75</v>
      </c>
      <c r="C2" t="s">
        <v>76</v>
      </c>
      <c r="D2" t="s">
        <v>77</v>
      </c>
    </row>
    <row r="3" spans="1:4" x14ac:dyDescent="0.35">
      <c r="A3" t="s">
        <v>78</v>
      </c>
      <c r="B3" t="s">
        <v>79</v>
      </c>
      <c r="C3">
        <v>6966</v>
      </c>
      <c r="D3">
        <v>18.776786436292081</v>
      </c>
    </row>
    <row r="4" spans="1:4" x14ac:dyDescent="0.35">
      <c r="A4" t="s">
        <v>78</v>
      </c>
      <c r="B4" t="s">
        <v>80</v>
      </c>
      <c r="C4">
        <v>6818</v>
      </c>
      <c r="D4">
        <v>18.377853850508099</v>
      </c>
    </row>
    <row r="5" spans="1:4" x14ac:dyDescent="0.35">
      <c r="A5" t="s">
        <v>78</v>
      </c>
      <c r="B5" t="s">
        <v>81</v>
      </c>
      <c r="C5">
        <v>6803</v>
      </c>
      <c r="D5">
        <v>18.3374214938408</v>
      </c>
    </row>
    <row r="6" spans="1:4" x14ac:dyDescent="0.35">
      <c r="A6" t="s">
        <v>78</v>
      </c>
      <c r="B6" t="s">
        <v>82</v>
      </c>
      <c r="C6">
        <v>2784</v>
      </c>
      <c r="D6">
        <v>7.5042453974500658</v>
      </c>
    </row>
    <row r="7" spans="1:4" x14ac:dyDescent="0.35">
      <c r="A7" t="s">
        <v>78</v>
      </c>
      <c r="B7" t="s">
        <v>83</v>
      </c>
      <c r="C7">
        <v>898</v>
      </c>
      <c r="D7">
        <v>2.4205504191487641</v>
      </c>
    </row>
    <row r="8" spans="1:4" x14ac:dyDescent="0.35">
      <c r="A8" t="s">
        <v>78</v>
      </c>
      <c r="B8" t="s">
        <v>84</v>
      </c>
      <c r="C8">
        <v>846</v>
      </c>
      <c r="D8">
        <v>2.280384916035473</v>
      </c>
    </row>
    <row r="9" spans="1:4" x14ac:dyDescent="0.35">
      <c r="A9" t="s">
        <v>78</v>
      </c>
      <c r="B9" t="s">
        <v>85</v>
      </c>
      <c r="C9">
        <v>764</v>
      </c>
      <c r="D9">
        <v>2.05935469958759</v>
      </c>
    </row>
    <row r="10" spans="1:4" x14ac:dyDescent="0.35">
      <c r="A10" t="s">
        <v>78</v>
      </c>
      <c r="B10" t="s">
        <v>86</v>
      </c>
      <c r="C10">
        <v>695</v>
      </c>
      <c r="D10">
        <v>1.87336585891803</v>
      </c>
    </row>
    <row r="11" spans="1:4" x14ac:dyDescent="0.35">
      <c r="A11" t="s">
        <v>78</v>
      </c>
      <c r="B11" t="s">
        <v>87</v>
      </c>
      <c r="C11">
        <v>482</v>
      </c>
      <c r="D11">
        <v>1.299226394242432</v>
      </c>
    </row>
    <row r="12" spans="1:4" x14ac:dyDescent="0.35">
      <c r="A12" t="s">
        <v>78</v>
      </c>
      <c r="B12" t="s">
        <v>88</v>
      </c>
      <c r="C12">
        <v>384</v>
      </c>
      <c r="D12">
        <v>1.0350683306827679</v>
      </c>
    </row>
    <row r="13" spans="1:4" x14ac:dyDescent="0.35">
      <c r="A13" t="s">
        <v>78</v>
      </c>
      <c r="B13" t="s">
        <v>89</v>
      </c>
      <c r="C13">
        <v>361</v>
      </c>
      <c r="D13">
        <v>0.97307205045958112</v>
      </c>
    </row>
    <row r="14" spans="1:4" x14ac:dyDescent="0.35">
      <c r="A14" t="s">
        <v>78</v>
      </c>
      <c r="B14" t="s">
        <v>90</v>
      </c>
      <c r="C14">
        <v>324</v>
      </c>
      <c r="D14">
        <v>0.87333890401358527</v>
      </c>
    </row>
    <row r="15" spans="1:4" x14ac:dyDescent="0.35">
      <c r="A15" t="s">
        <v>78</v>
      </c>
      <c r="B15" t="s">
        <v>91</v>
      </c>
      <c r="C15">
        <v>317</v>
      </c>
      <c r="D15">
        <v>0.85447047090218065</v>
      </c>
    </row>
    <row r="16" spans="1:4" x14ac:dyDescent="0.35">
      <c r="A16" t="s">
        <v>78</v>
      </c>
      <c r="B16" t="s">
        <v>92</v>
      </c>
      <c r="C16">
        <v>292</v>
      </c>
      <c r="D16">
        <v>0.78708320979002133</v>
      </c>
    </row>
    <row r="17" spans="1:4" x14ac:dyDescent="0.35">
      <c r="A17" t="s">
        <v>78</v>
      </c>
      <c r="B17" t="s">
        <v>93</v>
      </c>
      <c r="C17">
        <v>230</v>
      </c>
      <c r="D17">
        <v>0.61996280223186617</v>
      </c>
    </row>
    <row r="18" spans="1:4" x14ac:dyDescent="0.35">
      <c r="A18" t="s">
        <v>78</v>
      </c>
      <c r="B18" t="s">
        <v>94</v>
      </c>
      <c r="C18">
        <v>166</v>
      </c>
      <c r="D18">
        <v>0.44745141378473818</v>
      </c>
    </row>
    <row r="19" spans="1:4" x14ac:dyDescent="0.35">
      <c r="A19" t="s">
        <v>78</v>
      </c>
      <c r="B19" t="s">
        <v>95</v>
      </c>
      <c r="C19">
        <v>111</v>
      </c>
      <c r="D19">
        <v>0.29919943933798748</v>
      </c>
    </row>
    <row r="20" spans="1:4" x14ac:dyDescent="0.35">
      <c r="A20" t="s">
        <v>78</v>
      </c>
      <c r="B20" t="s">
        <v>96</v>
      </c>
      <c r="C20">
        <v>97</v>
      </c>
      <c r="D20">
        <v>0.26146257311517829</v>
      </c>
    </row>
    <row r="21" spans="1:4" x14ac:dyDescent="0.35">
      <c r="A21" t="s">
        <v>78</v>
      </c>
      <c r="B21" t="s">
        <v>97</v>
      </c>
      <c r="C21">
        <v>84</v>
      </c>
      <c r="D21">
        <v>0.22642119733685551</v>
      </c>
    </row>
    <row r="22" spans="1:4" x14ac:dyDescent="0.35">
      <c r="A22" t="s">
        <v>78</v>
      </c>
      <c r="B22" t="s">
        <v>98</v>
      </c>
      <c r="C22">
        <v>69</v>
      </c>
      <c r="D22">
        <v>0.18598884066955981</v>
      </c>
    </row>
    <row r="23" spans="1:4" x14ac:dyDescent="0.35">
      <c r="A23" t="s">
        <v>78</v>
      </c>
      <c r="B23" t="s">
        <v>99</v>
      </c>
      <c r="C23">
        <v>68</v>
      </c>
      <c r="D23">
        <v>0.18329335022507351</v>
      </c>
    </row>
    <row r="24" spans="1:4" x14ac:dyDescent="0.35">
      <c r="A24" t="s">
        <v>78</v>
      </c>
      <c r="B24" t="s">
        <v>100</v>
      </c>
      <c r="C24">
        <v>58</v>
      </c>
      <c r="D24">
        <v>0.15633844578020969</v>
      </c>
    </row>
    <row r="25" spans="1:4" x14ac:dyDescent="0.35">
      <c r="A25" t="s">
        <v>78</v>
      </c>
      <c r="B25" t="s">
        <v>101</v>
      </c>
      <c r="C25">
        <v>46</v>
      </c>
      <c r="D25">
        <v>0.1239925604463732</v>
      </c>
    </row>
    <row r="26" spans="1:4" x14ac:dyDescent="0.35">
      <c r="A26" t="s">
        <v>78</v>
      </c>
      <c r="B26" t="s">
        <v>102</v>
      </c>
      <c r="C26">
        <v>37</v>
      </c>
      <c r="D26">
        <v>9.9733146445995846E-2</v>
      </c>
    </row>
    <row r="27" spans="1:4" x14ac:dyDescent="0.35">
      <c r="A27" t="s">
        <v>78</v>
      </c>
      <c r="B27" t="s">
        <v>103</v>
      </c>
      <c r="C27">
        <v>26</v>
      </c>
      <c r="D27">
        <v>7.0082751556645742E-2</v>
      </c>
    </row>
    <row r="28" spans="1:4" x14ac:dyDescent="0.35">
      <c r="A28" t="s">
        <v>78</v>
      </c>
      <c r="B28" t="s">
        <v>104</v>
      </c>
      <c r="C28">
        <v>23</v>
      </c>
      <c r="D28">
        <v>6.1996280223186609E-2</v>
      </c>
    </row>
    <row r="29" spans="1:4" x14ac:dyDescent="0.35">
      <c r="A29" t="s">
        <v>78</v>
      </c>
      <c r="B29" t="s">
        <v>105</v>
      </c>
      <c r="C29">
        <v>12</v>
      </c>
      <c r="D29">
        <v>3.2345885333836491E-2</v>
      </c>
    </row>
    <row r="30" spans="1:4" x14ac:dyDescent="0.35">
      <c r="A30" t="s">
        <v>78</v>
      </c>
      <c r="B30" t="s">
        <v>106</v>
      </c>
      <c r="C30">
        <v>11</v>
      </c>
      <c r="D30">
        <v>2.9650394889350121E-2</v>
      </c>
    </row>
    <row r="31" spans="1:4" x14ac:dyDescent="0.35">
      <c r="A31" t="s">
        <v>78</v>
      </c>
      <c r="B31" t="s">
        <v>107</v>
      </c>
      <c r="C31">
        <v>10</v>
      </c>
      <c r="D31">
        <v>2.6954904444863741E-2</v>
      </c>
    </row>
    <row r="32" spans="1:4" x14ac:dyDescent="0.35">
      <c r="A32" t="s">
        <v>78</v>
      </c>
      <c r="B32" t="s">
        <v>108</v>
      </c>
      <c r="C32">
        <v>10</v>
      </c>
      <c r="D32">
        <v>2.6954904444863741E-2</v>
      </c>
    </row>
    <row r="33" spans="1:4" x14ac:dyDescent="0.35">
      <c r="A33" t="s">
        <v>78</v>
      </c>
      <c r="B33" t="s">
        <v>109</v>
      </c>
      <c r="C33">
        <v>2</v>
      </c>
      <c r="D33">
        <v>5.3909808889727488E-3</v>
      </c>
    </row>
    <row r="34" spans="1:4" x14ac:dyDescent="0.35">
      <c r="A34" t="s">
        <v>78</v>
      </c>
      <c r="B34" t="s">
        <v>110</v>
      </c>
      <c r="C34">
        <v>1</v>
      </c>
      <c r="D34">
        <v>2.695490444486374E-3</v>
      </c>
    </row>
    <row r="35" spans="1:4" x14ac:dyDescent="0.35">
      <c r="A35" t="s">
        <v>111</v>
      </c>
      <c r="B35" t="s">
        <v>112</v>
      </c>
      <c r="C35">
        <v>24710</v>
      </c>
      <c r="D35">
        <v>66.6055688832583</v>
      </c>
    </row>
    <row r="36" spans="1:4" x14ac:dyDescent="0.35">
      <c r="A36" t="s">
        <v>111</v>
      </c>
      <c r="B36" t="s">
        <v>113</v>
      </c>
      <c r="C36">
        <v>4464</v>
      </c>
      <c r="D36">
        <v>12.03266934418718</v>
      </c>
    </row>
    <row r="37" spans="1:4" x14ac:dyDescent="0.35">
      <c r="A37" t="s">
        <v>111</v>
      </c>
      <c r="B37" t="s">
        <v>114</v>
      </c>
      <c r="C37">
        <v>621</v>
      </c>
      <c r="D37">
        <v>1.673899566026039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6"/>
  <sheetViews>
    <sheetView workbookViewId="0"/>
  </sheetViews>
  <sheetFormatPr defaultRowHeight="14.5" x14ac:dyDescent="0.35"/>
  <sheetData>
    <row r="2" spans="1:4" x14ac:dyDescent="0.35">
      <c r="A2" t="s">
        <v>115</v>
      </c>
      <c r="B2" t="s">
        <v>76</v>
      </c>
      <c r="C2" t="s">
        <v>116</v>
      </c>
      <c r="D2" t="s">
        <v>117</v>
      </c>
    </row>
    <row r="3" spans="1:4" x14ac:dyDescent="0.35">
      <c r="A3">
        <v>2026</v>
      </c>
      <c r="B3">
        <v>37099</v>
      </c>
    </row>
    <row r="4" spans="1:4" x14ac:dyDescent="0.35">
      <c r="A4">
        <v>2025</v>
      </c>
      <c r="B4">
        <v>35152</v>
      </c>
      <c r="C4">
        <v>1947</v>
      </c>
      <c r="D4">
        <v>5.5388029130632681</v>
      </c>
    </row>
    <row r="5" spans="1:4" x14ac:dyDescent="0.35">
      <c r="A5">
        <v>2024</v>
      </c>
      <c r="B5">
        <v>34057</v>
      </c>
      <c r="C5">
        <v>3042</v>
      </c>
      <c r="D5">
        <v>8.9320844466629463</v>
      </c>
    </row>
    <row r="6" spans="1:4" x14ac:dyDescent="0.35">
      <c r="A6">
        <v>2023</v>
      </c>
      <c r="B6">
        <v>17490</v>
      </c>
      <c r="C6">
        <v>19609</v>
      </c>
      <c r="D6">
        <v>112.11549456832471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Monthly Movements</vt:lpstr>
      <vt:lpstr>Sheet1</vt:lpstr>
      <vt:lpstr>Summary</vt:lpstr>
      <vt:lpstr>Entry Exit Distribution</vt:lpstr>
      <vt:lpstr>Length of Stay</vt:lpstr>
      <vt:lpstr>Flight Info</vt:lpstr>
      <vt:lpstr>Transaction Growth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Jamie Douglas</cp:lastModifiedBy>
  <dcterms:created xsi:type="dcterms:W3CDTF">2026-03-25T14:17:19Z</dcterms:created>
  <dcterms:modified xsi:type="dcterms:W3CDTF">2026-03-27T13:36:35Z</dcterms:modified>
</cp:coreProperties>
</file>