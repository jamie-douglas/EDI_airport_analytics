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fastpark/reports/"/>
    </mc:Choice>
  </mc:AlternateContent>
  <xr:revisionPtr revIDLastSave="46" documentId="11_1E3AE404B2A28436337D2D6823ADF02C65546524" xr6:coauthVersionLast="47" xr6:coauthVersionMax="47" xr10:uidLastSave="{906A9376-1D3B-463D-895C-B5E814AC8C27}"/>
  <bookViews>
    <workbookView xWindow="975" yWindow="-17865" windowWidth="19770" windowHeight="15285" xr2:uid="{00000000-000D-0000-FFFF-FFFF00000000}"/>
  </bookViews>
  <sheets>
    <sheet name="Monthly Movements" sheetId="1" r:id="rId1"/>
    <sheet name="Summary" sheetId="2" r:id="rId2"/>
    <sheet name="Entry Exit Distribution" sheetId="3" r:id="rId3"/>
    <sheet name="Length of Stay" sheetId="4" r:id="rId4"/>
    <sheet name="Flight Info" sheetId="5" r:id="rId5"/>
    <sheet name="Transaction Growt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3" i="1"/>
  <c r="G4" i="1"/>
  <c r="G5" i="1"/>
  <c r="G3" i="1"/>
  <c r="E4" i="1" l="1"/>
  <c r="E5" i="1"/>
  <c r="E3" i="1"/>
  <c r="D5" i="1"/>
  <c r="D4" i="1"/>
  <c r="D3" i="1"/>
</calcChain>
</file>

<file path=xl/sharedStrings.xml><?xml version="1.0" encoding="utf-8"?>
<sst xmlns="http://schemas.openxmlformats.org/spreadsheetml/2006/main" count="167" uniqueCount="121">
  <si>
    <t>Month</t>
  </si>
  <si>
    <t>Entries</t>
  </si>
  <si>
    <t>Exits</t>
  </si>
  <si>
    <t>2026-01</t>
  </si>
  <si>
    <t>2026-02</t>
  </si>
  <si>
    <t>2026-03</t>
  </si>
  <si>
    <t>Metric</t>
  </si>
  <si>
    <t>Value</t>
  </si>
  <si>
    <t>Peak Type</t>
  </si>
  <si>
    <t>Date</t>
  </si>
  <si>
    <t>Total</t>
  </si>
  <si>
    <t>Total Transactions (Distinct Bookings)</t>
  </si>
  <si>
    <t>Total Entries</t>
  </si>
  <si>
    <t>Total Exits</t>
  </si>
  <si>
    <t>Entries Validation Passed</t>
  </si>
  <si>
    <t>Exits Validation Passed</t>
  </si>
  <si>
    <t>Average Kiosk Transaction Time (secs)</t>
  </si>
  <si>
    <t>Invalid Duration Count</t>
  </si>
  <si>
    <t>Total Transactions</t>
  </si>
  <si>
    <t>Peak Entries Day</t>
  </si>
  <si>
    <t>07 Feb 2026</t>
  </si>
  <si>
    <t>Peak Exits Day</t>
  </si>
  <si>
    <t>03 Jan 2026</t>
  </si>
  <si>
    <t>Peak Movements Day</t>
  </si>
  <si>
    <t>14 Feb 2026</t>
  </si>
  <si>
    <t>Average Entry Difference (HH:MM)</t>
  </si>
  <si>
    <t>01:31</t>
  </si>
  <si>
    <t>Median Entry Difference (HH:MM)</t>
  </si>
  <si>
    <t>00:14</t>
  </si>
  <si>
    <t>Average Exit Difference (HH:MM)</t>
  </si>
  <si>
    <t>11:12</t>
  </si>
  <si>
    <t>Median Exit Difference (HH:MM)</t>
  </si>
  <si>
    <t>00:37</t>
  </si>
  <si>
    <t>Entry Min (mins)</t>
  </si>
  <si>
    <t>Entry 25th Percentile (mins)</t>
  </si>
  <si>
    <t>Entry 75th Percentile (mins)</t>
  </si>
  <si>
    <t>Entry Max (mins)</t>
  </si>
  <si>
    <t>Exit Min (mins)</t>
  </si>
  <si>
    <t>Exit 25th Percentile (mins)</t>
  </si>
  <si>
    <t>Exit 75th Percentile (mins)</t>
  </si>
  <si>
    <t>Exit Max (mins)</t>
  </si>
  <si>
    <t>Bin Start</t>
  </si>
  <si>
    <t>Bin End</t>
  </si>
  <si>
    <t>Bin Midpoint</t>
  </si>
  <si>
    <t>Entry Count</t>
  </si>
  <si>
    <t>Exit Count</t>
  </si>
  <si>
    <t>Zero Line</t>
  </si>
  <si>
    <t>Avg Entry Line</t>
  </si>
  <si>
    <t>Median Entry Line</t>
  </si>
  <si>
    <t>Avg Exit Line</t>
  </si>
  <si>
    <t>Median Exit Line</t>
  </si>
  <si>
    <t>BookingReference</t>
  </si>
  <si>
    <t>Length of Stay Days</t>
  </si>
  <si>
    <t>Kind</t>
  </si>
  <si>
    <t>Z3OULUH</t>
  </si>
  <si>
    <t>Top 3</t>
  </si>
  <si>
    <t>LD751DR</t>
  </si>
  <si>
    <t>AXF56QZER</t>
  </si>
  <si>
    <t>AX88YV1AP</t>
  </si>
  <si>
    <t>Bottom 3</t>
  </si>
  <si>
    <t>8IU225NYK</t>
  </si>
  <si>
    <t>AXP3AV068</t>
  </si>
  <si>
    <t>Average LOS</t>
  </si>
  <si>
    <t>Average</t>
  </si>
  <si>
    <t>1</t>
  </si>
  <si>
    <t>Bins</t>
  </si>
  <si>
    <t>2</t>
  </si>
  <si>
    <t>3-6</t>
  </si>
  <si>
    <t>7-9</t>
  </si>
  <si>
    <t>10-13</t>
  </si>
  <si>
    <t>14-20</t>
  </si>
  <si>
    <t>21-29</t>
  </si>
  <si>
    <t>30-59</t>
  </si>
  <si>
    <t>60-89</t>
  </si>
  <si>
    <t>Category</t>
  </si>
  <si>
    <t>Name</t>
  </si>
  <si>
    <t>Count</t>
  </si>
  <si>
    <t>Percent</t>
  </si>
  <si>
    <t>Airline</t>
  </si>
  <si>
    <t>RYANAIR</t>
  </si>
  <si>
    <t>JET2</t>
  </si>
  <si>
    <t>EASYJET</t>
  </si>
  <si>
    <t>BRITISH AIRWAYS</t>
  </si>
  <si>
    <t>QATAR AIRWAYS</t>
  </si>
  <si>
    <t>RYANAIR UK</t>
  </si>
  <si>
    <t>EMIRATES</t>
  </si>
  <si>
    <t>KLM</t>
  </si>
  <si>
    <t>UNITED AIRLINES</t>
  </si>
  <si>
    <t>AIR FRANCE</t>
  </si>
  <si>
    <t>TUI AIRWAYS</t>
  </si>
  <si>
    <t>TURKISH AIRLINES</t>
  </si>
  <si>
    <t>AER LINGUS</t>
  </si>
  <si>
    <t>LUFTHANSA</t>
  </si>
  <si>
    <t>LOGANAIR</t>
  </si>
  <si>
    <t>PEGASUS AIRLINES</t>
  </si>
  <si>
    <t>FINNAIR</t>
  </si>
  <si>
    <t>EDELWEISS AIR</t>
  </si>
  <si>
    <t>NORWEGIAN AIR SWEDEN</t>
  </si>
  <si>
    <t>ICELANDAIR</t>
  </si>
  <si>
    <t>VUELING AIRLINES</t>
  </si>
  <si>
    <t>AEGEAN AIRLINES</t>
  </si>
  <si>
    <t>DELTA AIR LINES</t>
  </si>
  <si>
    <t>EUROWINGS</t>
  </si>
  <si>
    <t>HAINAN AIRLINES</t>
  </si>
  <si>
    <t>AMERICAN AIRLINES</t>
  </si>
  <si>
    <t>BRUSSELS AIRLINES</t>
  </si>
  <si>
    <t>AURIGNY AIR SERVICES</t>
  </si>
  <si>
    <t>SAS</t>
  </si>
  <si>
    <t>SUNEXPRESS</t>
  </si>
  <si>
    <t>NORWEGIAN</t>
  </si>
  <si>
    <t>ASL AIRLINES FRANCE</t>
  </si>
  <si>
    <t>Sector</t>
  </si>
  <si>
    <t>International</t>
  </si>
  <si>
    <t>Domestic</t>
  </si>
  <si>
    <t>CTA</t>
  </si>
  <si>
    <t>Period</t>
  </si>
  <si>
    <t>Absolute Change</t>
  </si>
  <si>
    <t>Percent Change</t>
  </si>
  <si>
    <t>B0</t>
  </si>
  <si>
    <t>R1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</si>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</sst>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2" borderId="0" xfId="0" applyNumberFormat="1" applyFill="1"/>
    <xf numFmtId="3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"/>
  <sheetViews>
    <sheetView tabSelected="1" workbookViewId="0">
      <selection activeCell="M8" sqref="M8"/>
    </sheetView>
  </sheetViews>
  <sheetFormatPr defaultRowHeight="15" x14ac:dyDescent="0.25"/>
  <sheetData>
    <row r="2" spans="1:10" x14ac:dyDescent="0.25">
      <c r="A2" t="s">
        <v>0</v>
      </c>
      <c r="B2" t="s">
        <v>1</v>
      </c>
      <c r="C2" t="s">
        <v>2</v>
      </c>
      <c r="E2" t="s">
        <v>120</v>
      </c>
      <c r="F2" t="s">
        <v>118</v>
      </c>
      <c r="H2" t="s">
        <v>119</v>
      </c>
    </row>
    <row r="3" spans="1:10" x14ac:dyDescent="0.25">
      <c r="A3" t="s">
        <v>3</v>
      </c>
      <c r="B3">
        <v>10130</v>
      </c>
      <c r="C3">
        <v>11674</v>
      </c>
      <c r="D3">
        <f>SUM(B3:C3)</f>
        <v>21804</v>
      </c>
      <c r="E3">
        <f>D3/2</f>
        <v>10902</v>
      </c>
      <c r="F3">
        <v>9842</v>
      </c>
      <c r="G3">
        <f>E3/F3</f>
        <v>1.107701686649055</v>
      </c>
      <c r="H3" s="1">
        <v>12060</v>
      </c>
      <c r="I3">
        <f>E3/H3</f>
        <v>0.90398009950248759</v>
      </c>
    </row>
    <row r="4" spans="1:10" x14ac:dyDescent="0.25">
      <c r="A4" t="s">
        <v>4</v>
      </c>
      <c r="B4">
        <v>12174</v>
      </c>
      <c r="C4">
        <v>11745</v>
      </c>
      <c r="D4">
        <f t="shared" ref="D4:D5" si="0">SUM(B4:C4)</f>
        <v>23919</v>
      </c>
      <c r="E4">
        <f t="shared" ref="E4:E5" si="1">D4/2</f>
        <v>11959.5</v>
      </c>
      <c r="F4">
        <v>10772</v>
      </c>
      <c r="G4">
        <f t="shared" ref="G4:G5" si="2">E4/F4</f>
        <v>1.1102395098403268</v>
      </c>
      <c r="H4" s="1">
        <v>12093</v>
      </c>
      <c r="I4">
        <f t="shared" ref="I4:I5" si="3">E4/H4</f>
        <v>0.98896055569337638</v>
      </c>
    </row>
    <row r="5" spans="1:10" x14ac:dyDescent="0.25">
      <c r="A5" t="s">
        <v>5</v>
      </c>
      <c r="B5">
        <v>10647</v>
      </c>
      <c r="C5">
        <v>10773</v>
      </c>
      <c r="D5">
        <f>SUM(B5:C5)</f>
        <v>21420</v>
      </c>
      <c r="E5">
        <f t="shared" si="1"/>
        <v>10710</v>
      </c>
      <c r="F5">
        <v>14992</v>
      </c>
      <c r="G5">
        <f t="shared" si="2"/>
        <v>0.71438100320170761</v>
      </c>
      <c r="H5" s="1">
        <v>17328</v>
      </c>
      <c r="I5">
        <f t="shared" si="3"/>
        <v>0.61807479224376727</v>
      </c>
    </row>
    <row r="6" spans="1:10" x14ac:dyDescent="0.25">
      <c r="I6" s="2"/>
      <c r="J6" s="3"/>
    </row>
    <row r="10" spans="1:10" x14ac:dyDescent="0.25">
      <c r="G10" s="1"/>
      <c r="H10" s="1"/>
      <c r="I10" s="1">
        <v>17328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5"/>
  <sheetViews>
    <sheetView workbookViewId="0"/>
  </sheetViews>
  <sheetFormatPr defaultRowHeight="15" x14ac:dyDescent="0.25"/>
  <cols>
    <col min="1" max="1" width="36.42578125" customWidth="1"/>
    <col min="2" max="2" width="18.5703125" customWidth="1"/>
  </cols>
  <sheetData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>
        <v>37099</v>
      </c>
    </row>
    <row r="4" spans="1:5" x14ac:dyDescent="0.25">
      <c r="A4" t="s">
        <v>12</v>
      </c>
      <c r="B4">
        <v>32951</v>
      </c>
    </row>
    <row r="5" spans="1:5" x14ac:dyDescent="0.25">
      <c r="A5" t="s">
        <v>13</v>
      </c>
      <c r="B5">
        <v>34192</v>
      </c>
    </row>
    <row r="6" spans="1:5" x14ac:dyDescent="0.25">
      <c r="A6" t="s">
        <v>14</v>
      </c>
      <c r="B6">
        <v>1</v>
      </c>
    </row>
    <row r="7" spans="1:5" x14ac:dyDescent="0.25">
      <c r="A7" t="s">
        <v>15</v>
      </c>
      <c r="B7">
        <v>1</v>
      </c>
    </row>
    <row r="8" spans="1:5" x14ac:dyDescent="0.25">
      <c r="A8" t="s">
        <v>16</v>
      </c>
      <c r="B8">
        <v>26.2436713124448</v>
      </c>
    </row>
    <row r="9" spans="1:5" x14ac:dyDescent="0.25">
      <c r="A9" t="s">
        <v>17</v>
      </c>
      <c r="B9">
        <v>5</v>
      </c>
    </row>
    <row r="10" spans="1:5" x14ac:dyDescent="0.25">
      <c r="A10" t="s">
        <v>18</v>
      </c>
      <c r="B10">
        <v>66804</v>
      </c>
    </row>
    <row r="11" spans="1:5" x14ac:dyDescent="0.25">
      <c r="C11" t="s">
        <v>19</v>
      </c>
      <c r="D11" t="s">
        <v>20</v>
      </c>
      <c r="E11">
        <v>711</v>
      </c>
    </row>
    <row r="12" spans="1:5" x14ac:dyDescent="0.25">
      <c r="C12" t="s">
        <v>21</v>
      </c>
      <c r="D12" t="s">
        <v>22</v>
      </c>
      <c r="E12">
        <v>812</v>
      </c>
    </row>
    <row r="13" spans="1:5" x14ac:dyDescent="0.25">
      <c r="C13" t="s">
        <v>23</v>
      </c>
      <c r="D13" t="s">
        <v>24</v>
      </c>
      <c r="E13">
        <v>1251</v>
      </c>
    </row>
    <row r="14" spans="1:5" x14ac:dyDescent="0.25">
      <c r="A14" t="s">
        <v>25</v>
      </c>
      <c r="B14" t="s">
        <v>26</v>
      </c>
    </row>
    <row r="15" spans="1:5" x14ac:dyDescent="0.25">
      <c r="A15" t="s">
        <v>27</v>
      </c>
      <c r="B15" t="s">
        <v>28</v>
      </c>
    </row>
    <row r="16" spans="1:5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>
        <v>-44351.35</v>
      </c>
    </row>
    <row r="19" spans="1:2" x14ac:dyDescent="0.25">
      <c r="A19" t="s">
        <v>34</v>
      </c>
      <c r="B19">
        <v>-4.6916666666666664</v>
      </c>
    </row>
    <row r="20" spans="1:2" x14ac:dyDescent="0.25">
      <c r="A20" t="s">
        <v>35</v>
      </c>
      <c r="B20">
        <v>37.091666666666669</v>
      </c>
    </row>
    <row r="21" spans="1:2" x14ac:dyDescent="0.25">
      <c r="A21" t="s">
        <v>36</v>
      </c>
      <c r="B21">
        <v>1668052.166666667</v>
      </c>
    </row>
    <row r="22" spans="1:2" x14ac:dyDescent="0.25">
      <c r="A22" t="s">
        <v>37</v>
      </c>
      <c r="B22">
        <v>-397902</v>
      </c>
    </row>
    <row r="23" spans="1:2" x14ac:dyDescent="0.25">
      <c r="A23" t="s">
        <v>38</v>
      </c>
      <c r="B23">
        <v>19</v>
      </c>
    </row>
    <row r="24" spans="1:2" x14ac:dyDescent="0.25">
      <c r="A24" t="s">
        <v>39</v>
      </c>
      <c r="B24">
        <v>61</v>
      </c>
    </row>
    <row r="25" spans="1:2" x14ac:dyDescent="0.25">
      <c r="A25" t="s">
        <v>40</v>
      </c>
      <c r="B25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2"/>
  <sheetViews>
    <sheetView workbookViewId="0"/>
  </sheetViews>
  <sheetFormatPr defaultRowHeight="15" x14ac:dyDescent="0.25"/>
  <sheetData>
    <row r="2" spans="1:10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</row>
    <row r="3" spans="1:10" x14ac:dyDescent="0.25">
      <c r="A3">
        <v>-99999</v>
      </c>
      <c r="B3">
        <v>-180</v>
      </c>
      <c r="C3">
        <v>-50089.5</v>
      </c>
      <c r="D3">
        <v>407</v>
      </c>
      <c r="E3">
        <v>425</v>
      </c>
      <c r="F3">
        <v>0</v>
      </c>
      <c r="G3">
        <v>91.787746323547765</v>
      </c>
      <c r="H3">
        <v>14.33333333333333</v>
      </c>
      <c r="I3">
        <v>672.18691506785217</v>
      </c>
      <c r="J3">
        <v>37</v>
      </c>
    </row>
    <row r="4" spans="1:10" x14ac:dyDescent="0.25">
      <c r="A4">
        <v>-180</v>
      </c>
      <c r="B4">
        <v>-120</v>
      </c>
      <c r="C4">
        <v>-150</v>
      </c>
      <c r="D4">
        <v>330</v>
      </c>
      <c r="E4">
        <v>77</v>
      </c>
      <c r="F4">
        <v>0</v>
      </c>
      <c r="G4">
        <v>91.787746323547765</v>
      </c>
      <c r="H4">
        <v>14.33333333333333</v>
      </c>
      <c r="I4">
        <v>672.18691506785217</v>
      </c>
      <c r="J4">
        <v>37</v>
      </c>
    </row>
    <row r="5" spans="1:10" x14ac:dyDescent="0.25">
      <c r="A5">
        <v>-120</v>
      </c>
      <c r="B5">
        <v>-60</v>
      </c>
      <c r="C5">
        <v>-90</v>
      </c>
      <c r="D5">
        <v>1355</v>
      </c>
      <c r="E5">
        <v>88</v>
      </c>
      <c r="F5">
        <v>0</v>
      </c>
      <c r="G5">
        <v>91.787746323547765</v>
      </c>
      <c r="H5">
        <v>14.33333333333333</v>
      </c>
      <c r="I5">
        <v>672.18691506785217</v>
      </c>
      <c r="J5">
        <v>37</v>
      </c>
    </row>
    <row r="6" spans="1:10" x14ac:dyDescent="0.25">
      <c r="A6">
        <v>-60</v>
      </c>
      <c r="B6">
        <v>-30</v>
      </c>
      <c r="C6">
        <v>-45</v>
      </c>
      <c r="D6">
        <v>3627</v>
      </c>
      <c r="E6">
        <v>109</v>
      </c>
      <c r="F6">
        <v>0</v>
      </c>
      <c r="G6">
        <v>91.787746323547765</v>
      </c>
      <c r="H6">
        <v>14.33333333333333</v>
      </c>
      <c r="I6">
        <v>672.18691506785217</v>
      </c>
      <c r="J6">
        <v>37</v>
      </c>
    </row>
    <row r="7" spans="1:10" x14ac:dyDescent="0.25">
      <c r="A7">
        <v>-30</v>
      </c>
      <c r="B7">
        <v>0</v>
      </c>
      <c r="C7">
        <v>-15</v>
      </c>
      <c r="D7">
        <v>14519</v>
      </c>
      <c r="E7">
        <v>1401</v>
      </c>
      <c r="F7">
        <v>0</v>
      </c>
      <c r="G7">
        <v>91.787746323547765</v>
      </c>
      <c r="H7">
        <v>14.33333333333333</v>
      </c>
      <c r="I7">
        <v>672.18691506785217</v>
      </c>
      <c r="J7">
        <v>37</v>
      </c>
    </row>
    <row r="8" spans="1:10" x14ac:dyDescent="0.25">
      <c r="A8">
        <v>0</v>
      </c>
      <c r="B8">
        <v>30</v>
      </c>
      <c r="C8">
        <v>15</v>
      </c>
      <c r="D8">
        <v>25477</v>
      </c>
      <c r="E8">
        <v>11462</v>
      </c>
      <c r="F8">
        <v>0</v>
      </c>
      <c r="G8">
        <v>91.787746323547765</v>
      </c>
      <c r="H8">
        <v>14.33333333333333</v>
      </c>
      <c r="I8">
        <v>672.18691506785217</v>
      </c>
      <c r="J8">
        <v>37</v>
      </c>
    </row>
    <row r="9" spans="1:10" x14ac:dyDescent="0.25">
      <c r="A9">
        <v>30</v>
      </c>
      <c r="B9">
        <v>60</v>
      </c>
      <c r="C9">
        <v>45</v>
      </c>
      <c r="D9">
        <v>13111</v>
      </c>
      <c r="E9">
        <v>11837</v>
      </c>
      <c r="F9">
        <v>0</v>
      </c>
      <c r="G9">
        <v>91.787746323547765</v>
      </c>
      <c r="H9">
        <v>14.33333333333333</v>
      </c>
      <c r="I9">
        <v>672.18691506785217</v>
      </c>
      <c r="J9">
        <v>37</v>
      </c>
    </row>
    <row r="10" spans="1:10" x14ac:dyDescent="0.25">
      <c r="A10">
        <v>60</v>
      </c>
      <c r="B10">
        <v>120</v>
      </c>
      <c r="C10">
        <v>90</v>
      </c>
      <c r="D10">
        <v>6191</v>
      </c>
      <c r="E10">
        <v>6233</v>
      </c>
      <c r="F10">
        <v>0</v>
      </c>
      <c r="G10">
        <v>91.787746323547765</v>
      </c>
      <c r="H10">
        <v>14.33333333333333</v>
      </c>
      <c r="I10">
        <v>672.18691506785217</v>
      </c>
      <c r="J10">
        <v>37</v>
      </c>
    </row>
    <row r="11" spans="1:10" x14ac:dyDescent="0.25">
      <c r="A11">
        <v>120</v>
      </c>
      <c r="B11">
        <v>180</v>
      </c>
      <c r="C11">
        <v>150</v>
      </c>
      <c r="D11">
        <v>879</v>
      </c>
      <c r="E11">
        <v>977</v>
      </c>
      <c r="F11">
        <v>0</v>
      </c>
      <c r="G11">
        <v>91.787746323547765</v>
      </c>
      <c r="H11">
        <v>14.33333333333333</v>
      </c>
      <c r="I11">
        <v>672.18691506785217</v>
      </c>
      <c r="J11">
        <v>37</v>
      </c>
    </row>
    <row r="12" spans="1:10" x14ac:dyDescent="0.25">
      <c r="A12">
        <v>180</v>
      </c>
      <c r="B12">
        <v>99999</v>
      </c>
      <c r="C12">
        <v>50089.5</v>
      </c>
      <c r="D12">
        <v>900</v>
      </c>
      <c r="E12">
        <v>1553</v>
      </c>
      <c r="F12">
        <v>0</v>
      </c>
      <c r="G12">
        <v>91.787746323547765</v>
      </c>
      <c r="H12">
        <v>14.33333333333333</v>
      </c>
      <c r="I12">
        <v>672.18691506785217</v>
      </c>
      <c r="J12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8"/>
  <sheetViews>
    <sheetView workbookViewId="0"/>
  </sheetViews>
  <sheetFormatPr defaultRowHeight="15" x14ac:dyDescent="0.25"/>
  <sheetData>
    <row r="2" spans="1:3" x14ac:dyDescent="0.25">
      <c r="A2" t="s">
        <v>51</v>
      </c>
      <c r="B2" t="s">
        <v>52</v>
      </c>
      <c r="C2" t="s">
        <v>53</v>
      </c>
    </row>
    <row r="3" spans="1:3" x14ac:dyDescent="0.25">
      <c r="A3" t="s">
        <v>54</v>
      </c>
      <c r="B3">
        <v>89.226342592592587</v>
      </c>
      <c r="C3" t="s">
        <v>55</v>
      </c>
    </row>
    <row r="4" spans="1:3" x14ac:dyDescent="0.25">
      <c r="A4" t="s">
        <v>56</v>
      </c>
      <c r="B4">
        <v>83.852326388888883</v>
      </c>
      <c r="C4" t="s">
        <v>55</v>
      </c>
    </row>
    <row r="5" spans="1:3" x14ac:dyDescent="0.25">
      <c r="A5" t="s">
        <v>57</v>
      </c>
      <c r="B5">
        <v>75.662997685185189</v>
      </c>
      <c r="C5" t="s">
        <v>55</v>
      </c>
    </row>
    <row r="6" spans="1:3" x14ac:dyDescent="0.25">
      <c r="A6" t="s">
        <v>58</v>
      </c>
      <c r="B6">
        <v>8.4953703703703701E-3</v>
      </c>
      <c r="C6" t="s">
        <v>59</v>
      </c>
    </row>
    <row r="7" spans="1:3" x14ac:dyDescent="0.25">
      <c r="A7" t="s">
        <v>60</v>
      </c>
      <c r="B7">
        <v>1.3032407407407409E-2</v>
      </c>
      <c r="C7" t="s">
        <v>59</v>
      </c>
    </row>
    <row r="8" spans="1:3" x14ac:dyDescent="0.25">
      <c r="A8" t="s">
        <v>61</v>
      </c>
      <c r="B8">
        <v>1.381944444444444E-2</v>
      </c>
      <c r="C8" t="s">
        <v>59</v>
      </c>
    </row>
    <row r="9" spans="1:3" x14ac:dyDescent="0.25">
      <c r="A9" t="s">
        <v>62</v>
      </c>
      <c r="B9">
        <v>7.4693465157043724</v>
      </c>
      <c r="C9" t="s">
        <v>63</v>
      </c>
    </row>
    <row r="10" spans="1:3" x14ac:dyDescent="0.25">
      <c r="A10" t="s">
        <v>64</v>
      </c>
      <c r="B10">
        <v>678</v>
      </c>
      <c r="C10" t="s">
        <v>65</v>
      </c>
    </row>
    <row r="11" spans="1:3" x14ac:dyDescent="0.25">
      <c r="A11" t="s">
        <v>66</v>
      </c>
      <c r="B11">
        <v>1411</v>
      </c>
      <c r="C11" t="s">
        <v>65</v>
      </c>
    </row>
    <row r="12" spans="1:3" x14ac:dyDescent="0.25">
      <c r="A12" t="s">
        <v>67</v>
      </c>
      <c r="B12">
        <v>13191</v>
      </c>
      <c r="C12" t="s">
        <v>65</v>
      </c>
    </row>
    <row r="13" spans="1:3" x14ac:dyDescent="0.25">
      <c r="A13" t="s">
        <v>68</v>
      </c>
      <c r="B13">
        <v>12639</v>
      </c>
      <c r="C13" t="s">
        <v>65</v>
      </c>
    </row>
    <row r="14" spans="1:3" x14ac:dyDescent="0.25">
      <c r="A14" t="s">
        <v>69</v>
      </c>
      <c r="B14">
        <v>2831</v>
      </c>
      <c r="C14" t="s">
        <v>65</v>
      </c>
    </row>
    <row r="15" spans="1:3" x14ac:dyDescent="0.25">
      <c r="A15" t="s">
        <v>70</v>
      </c>
      <c r="B15">
        <v>2280</v>
      </c>
      <c r="C15" t="s">
        <v>65</v>
      </c>
    </row>
    <row r="16" spans="1:3" x14ac:dyDescent="0.25">
      <c r="A16" t="s">
        <v>71</v>
      </c>
      <c r="B16">
        <v>620</v>
      </c>
      <c r="C16" t="s">
        <v>65</v>
      </c>
    </row>
    <row r="17" spans="1:3" x14ac:dyDescent="0.25">
      <c r="A17" t="s">
        <v>72</v>
      </c>
      <c r="B17">
        <v>152</v>
      </c>
      <c r="C17" t="s">
        <v>65</v>
      </c>
    </row>
    <row r="18" spans="1:3" x14ac:dyDescent="0.25">
      <c r="A18" t="s">
        <v>73</v>
      </c>
      <c r="B18">
        <v>13</v>
      </c>
      <c r="C18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37"/>
  <sheetViews>
    <sheetView workbookViewId="0"/>
  </sheetViews>
  <sheetFormatPr defaultRowHeight="15" x14ac:dyDescent="0.25"/>
  <sheetData>
    <row r="2" spans="1:4" x14ac:dyDescent="0.25">
      <c r="A2" t="s">
        <v>74</v>
      </c>
      <c r="B2" t="s">
        <v>75</v>
      </c>
      <c r="C2" t="s">
        <v>76</v>
      </c>
      <c r="D2" t="s">
        <v>77</v>
      </c>
    </row>
    <row r="3" spans="1:4" x14ac:dyDescent="0.25">
      <c r="A3" t="s">
        <v>78</v>
      </c>
      <c r="B3" t="s">
        <v>79</v>
      </c>
      <c r="C3">
        <v>6966</v>
      </c>
      <c r="D3">
        <v>18.776786436292081</v>
      </c>
    </row>
    <row r="4" spans="1:4" x14ac:dyDescent="0.25">
      <c r="A4" t="s">
        <v>78</v>
      </c>
      <c r="B4" t="s">
        <v>80</v>
      </c>
      <c r="C4">
        <v>6818</v>
      </c>
      <c r="D4">
        <v>18.377853850508099</v>
      </c>
    </row>
    <row r="5" spans="1:4" x14ac:dyDescent="0.25">
      <c r="A5" t="s">
        <v>78</v>
      </c>
      <c r="B5" t="s">
        <v>81</v>
      </c>
      <c r="C5">
        <v>6803</v>
      </c>
      <c r="D5">
        <v>18.3374214938408</v>
      </c>
    </row>
    <row r="6" spans="1:4" x14ac:dyDescent="0.25">
      <c r="A6" t="s">
        <v>78</v>
      </c>
      <c r="B6" t="s">
        <v>82</v>
      </c>
      <c r="C6">
        <v>2784</v>
      </c>
      <c r="D6">
        <v>7.5042453974500658</v>
      </c>
    </row>
    <row r="7" spans="1:4" x14ac:dyDescent="0.25">
      <c r="A7" t="s">
        <v>78</v>
      </c>
      <c r="B7" t="s">
        <v>83</v>
      </c>
      <c r="C7">
        <v>898</v>
      </c>
      <c r="D7">
        <v>2.4205504191487641</v>
      </c>
    </row>
    <row r="8" spans="1:4" x14ac:dyDescent="0.25">
      <c r="A8" t="s">
        <v>78</v>
      </c>
      <c r="B8" t="s">
        <v>84</v>
      </c>
      <c r="C8">
        <v>846</v>
      </c>
      <c r="D8">
        <v>2.280384916035473</v>
      </c>
    </row>
    <row r="9" spans="1:4" x14ac:dyDescent="0.25">
      <c r="A9" t="s">
        <v>78</v>
      </c>
      <c r="B9" t="s">
        <v>85</v>
      </c>
      <c r="C9">
        <v>764</v>
      </c>
      <c r="D9">
        <v>2.05935469958759</v>
      </c>
    </row>
    <row r="10" spans="1:4" x14ac:dyDescent="0.25">
      <c r="A10" t="s">
        <v>78</v>
      </c>
      <c r="B10" t="s">
        <v>86</v>
      </c>
      <c r="C10">
        <v>695</v>
      </c>
      <c r="D10">
        <v>1.87336585891803</v>
      </c>
    </row>
    <row r="11" spans="1:4" x14ac:dyDescent="0.25">
      <c r="A11" t="s">
        <v>78</v>
      </c>
      <c r="B11" t="s">
        <v>87</v>
      </c>
      <c r="C11">
        <v>482</v>
      </c>
      <c r="D11">
        <v>1.299226394242432</v>
      </c>
    </row>
    <row r="12" spans="1:4" x14ac:dyDescent="0.25">
      <c r="A12" t="s">
        <v>78</v>
      </c>
      <c r="B12" t="s">
        <v>88</v>
      </c>
      <c r="C12">
        <v>384</v>
      </c>
      <c r="D12">
        <v>1.0350683306827679</v>
      </c>
    </row>
    <row r="13" spans="1:4" x14ac:dyDescent="0.25">
      <c r="A13" t="s">
        <v>78</v>
      </c>
      <c r="B13" t="s">
        <v>89</v>
      </c>
      <c r="C13">
        <v>361</v>
      </c>
      <c r="D13">
        <v>0.97307205045958112</v>
      </c>
    </row>
    <row r="14" spans="1:4" x14ac:dyDescent="0.25">
      <c r="A14" t="s">
        <v>78</v>
      </c>
      <c r="B14" t="s">
        <v>90</v>
      </c>
      <c r="C14">
        <v>324</v>
      </c>
      <c r="D14">
        <v>0.87333890401358527</v>
      </c>
    </row>
    <row r="15" spans="1:4" x14ac:dyDescent="0.25">
      <c r="A15" t="s">
        <v>78</v>
      </c>
      <c r="B15" t="s">
        <v>91</v>
      </c>
      <c r="C15">
        <v>317</v>
      </c>
      <c r="D15">
        <v>0.85447047090218065</v>
      </c>
    </row>
    <row r="16" spans="1:4" x14ac:dyDescent="0.25">
      <c r="A16" t="s">
        <v>78</v>
      </c>
      <c r="B16" t="s">
        <v>92</v>
      </c>
      <c r="C16">
        <v>292</v>
      </c>
      <c r="D16">
        <v>0.78708320979002133</v>
      </c>
    </row>
    <row r="17" spans="1:4" x14ac:dyDescent="0.25">
      <c r="A17" t="s">
        <v>78</v>
      </c>
      <c r="B17" t="s">
        <v>93</v>
      </c>
      <c r="C17">
        <v>230</v>
      </c>
      <c r="D17">
        <v>0.61996280223186617</v>
      </c>
    </row>
    <row r="18" spans="1:4" x14ac:dyDescent="0.25">
      <c r="A18" t="s">
        <v>78</v>
      </c>
      <c r="B18" t="s">
        <v>94</v>
      </c>
      <c r="C18">
        <v>166</v>
      </c>
      <c r="D18">
        <v>0.44745141378473818</v>
      </c>
    </row>
    <row r="19" spans="1:4" x14ac:dyDescent="0.25">
      <c r="A19" t="s">
        <v>78</v>
      </c>
      <c r="B19" t="s">
        <v>95</v>
      </c>
      <c r="C19">
        <v>111</v>
      </c>
      <c r="D19">
        <v>0.29919943933798748</v>
      </c>
    </row>
    <row r="20" spans="1:4" x14ac:dyDescent="0.25">
      <c r="A20" t="s">
        <v>78</v>
      </c>
      <c r="B20" t="s">
        <v>96</v>
      </c>
      <c r="C20">
        <v>97</v>
      </c>
      <c r="D20">
        <v>0.26146257311517829</v>
      </c>
    </row>
    <row r="21" spans="1:4" x14ac:dyDescent="0.25">
      <c r="A21" t="s">
        <v>78</v>
      </c>
      <c r="B21" t="s">
        <v>97</v>
      </c>
      <c r="C21">
        <v>84</v>
      </c>
      <c r="D21">
        <v>0.22642119733685551</v>
      </c>
    </row>
    <row r="22" spans="1:4" x14ac:dyDescent="0.25">
      <c r="A22" t="s">
        <v>78</v>
      </c>
      <c r="B22" t="s">
        <v>98</v>
      </c>
      <c r="C22">
        <v>69</v>
      </c>
      <c r="D22">
        <v>0.18598884066955981</v>
      </c>
    </row>
    <row r="23" spans="1:4" x14ac:dyDescent="0.25">
      <c r="A23" t="s">
        <v>78</v>
      </c>
      <c r="B23" t="s">
        <v>99</v>
      </c>
      <c r="C23">
        <v>68</v>
      </c>
      <c r="D23">
        <v>0.18329335022507351</v>
      </c>
    </row>
    <row r="24" spans="1:4" x14ac:dyDescent="0.25">
      <c r="A24" t="s">
        <v>78</v>
      </c>
      <c r="B24" t="s">
        <v>100</v>
      </c>
      <c r="C24">
        <v>58</v>
      </c>
      <c r="D24">
        <v>0.15633844578020969</v>
      </c>
    </row>
    <row r="25" spans="1:4" x14ac:dyDescent="0.25">
      <c r="A25" t="s">
        <v>78</v>
      </c>
      <c r="B25" t="s">
        <v>101</v>
      </c>
      <c r="C25">
        <v>46</v>
      </c>
      <c r="D25">
        <v>0.1239925604463732</v>
      </c>
    </row>
    <row r="26" spans="1:4" x14ac:dyDescent="0.25">
      <c r="A26" t="s">
        <v>78</v>
      </c>
      <c r="B26" t="s">
        <v>102</v>
      </c>
      <c r="C26">
        <v>37</v>
      </c>
      <c r="D26">
        <v>9.9733146445995846E-2</v>
      </c>
    </row>
    <row r="27" spans="1:4" x14ac:dyDescent="0.25">
      <c r="A27" t="s">
        <v>78</v>
      </c>
      <c r="B27" t="s">
        <v>103</v>
      </c>
      <c r="C27">
        <v>26</v>
      </c>
      <c r="D27">
        <v>7.0082751556645742E-2</v>
      </c>
    </row>
    <row r="28" spans="1:4" x14ac:dyDescent="0.25">
      <c r="A28" t="s">
        <v>78</v>
      </c>
      <c r="B28" t="s">
        <v>104</v>
      </c>
      <c r="C28">
        <v>23</v>
      </c>
      <c r="D28">
        <v>6.1996280223186609E-2</v>
      </c>
    </row>
    <row r="29" spans="1:4" x14ac:dyDescent="0.25">
      <c r="A29" t="s">
        <v>78</v>
      </c>
      <c r="B29" t="s">
        <v>105</v>
      </c>
      <c r="C29">
        <v>12</v>
      </c>
      <c r="D29">
        <v>3.2345885333836491E-2</v>
      </c>
    </row>
    <row r="30" spans="1:4" x14ac:dyDescent="0.25">
      <c r="A30" t="s">
        <v>78</v>
      </c>
      <c r="B30" t="s">
        <v>106</v>
      </c>
      <c r="C30">
        <v>11</v>
      </c>
      <c r="D30">
        <v>2.9650394889350121E-2</v>
      </c>
    </row>
    <row r="31" spans="1:4" x14ac:dyDescent="0.25">
      <c r="A31" t="s">
        <v>78</v>
      </c>
      <c r="B31" t="s">
        <v>107</v>
      </c>
      <c r="C31">
        <v>10</v>
      </c>
      <c r="D31">
        <v>2.6954904444863741E-2</v>
      </c>
    </row>
    <row r="32" spans="1:4" x14ac:dyDescent="0.25">
      <c r="A32" t="s">
        <v>78</v>
      </c>
      <c r="B32" t="s">
        <v>108</v>
      </c>
      <c r="C32">
        <v>10</v>
      </c>
      <c r="D32">
        <v>2.6954904444863741E-2</v>
      </c>
    </row>
    <row r="33" spans="1:4" x14ac:dyDescent="0.25">
      <c r="A33" t="s">
        <v>78</v>
      </c>
      <c r="B33" t="s">
        <v>109</v>
      </c>
      <c r="C33">
        <v>2</v>
      </c>
      <c r="D33">
        <v>5.3909808889727488E-3</v>
      </c>
    </row>
    <row r="34" spans="1:4" x14ac:dyDescent="0.25">
      <c r="A34" t="s">
        <v>78</v>
      </c>
      <c r="B34" t="s">
        <v>110</v>
      </c>
      <c r="C34">
        <v>1</v>
      </c>
      <c r="D34">
        <v>2.695490444486374E-3</v>
      </c>
    </row>
    <row r="35" spans="1:4" x14ac:dyDescent="0.25">
      <c r="A35" t="s">
        <v>111</v>
      </c>
      <c r="B35" t="s">
        <v>112</v>
      </c>
      <c r="C35">
        <v>24710</v>
      </c>
      <c r="D35">
        <v>66.6055688832583</v>
      </c>
    </row>
    <row r="36" spans="1:4" x14ac:dyDescent="0.25">
      <c r="A36" t="s">
        <v>111</v>
      </c>
      <c r="B36" t="s">
        <v>113</v>
      </c>
      <c r="C36">
        <v>4464</v>
      </c>
      <c r="D36">
        <v>12.03266934418718</v>
      </c>
    </row>
    <row r="37" spans="1:4" x14ac:dyDescent="0.25">
      <c r="A37" t="s">
        <v>111</v>
      </c>
      <c r="B37" t="s">
        <v>114</v>
      </c>
      <c r="C37">
        <v>621</v>
      </c>
      <c r="D37">
        <v>1.673899566026039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6"/>
  <sheetViews>
    <sheetView workbookViewId="0"/>
  </sheetViews>
  <sheetFormatPr defaultRowHeight="15" x14ac:dyDescent="0.25"/>
  <sheetData>
    <row r="2" spans="1:4" x14ac:dyDescent="0.25">
      <c r="A2" t="s">
        <v>115</v>
      </c>
      <c r="B2" t="s">
        <v>76</v>
      </c>
      <c r="C2" t="s">
        <v>116</v>
      </c>
      <c r="D2" t="s">
        <v>117</v>
      </c>
    </row>
    <row r="3" spans="1:4" x14ac:dyDescent="0.25">
      <c r="A3">
        <v>2026</v>
      </c>
      <c r="B3">
        <v>37099</v>
      </c>
    </row>
    <row r="4" spans="1:4" x14ac:dyDescent="0.25">
      <c r="A4">
        <v>2025</v>
      </c>
      <c r="B4">
        <v>35152</v>
      </c>
      <c r="C4">
        <v>1947</v>
      </c>
      <c r="D4">
        <v>5.5388029130632681</v>
      </c>
    </row>
    <row r="5" spans="1:4" x14ac:dyDescent="0.25">
      <c r="A5">
        <v>2024</v>
      </c>
      <c r="B5">
        <v>34057</v>
      </c>
      <c r="C5">
        <v>3042</v>
      </c>
      <c r="D5">
        <v>8.9320844466629463</v>
      </c>
    </row>
    <row r="6" spans="1:4" x14ac:dyDescent="0.25">
      <c r="A6">
        <v>2023</v>
      </c>
      <c r="B6">
        <v>17490</v>
      </c>
      <c r="C6">
        <v>19609</v>
      </c>
      <c r="D6">
        <v>112.11549456832471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Movements</vt:lpstr>
      <vt:lpstr>Summary</vt:lpstr>
      <vt:lpstr>Entry Exit Distribution</vt:lpstr>
      <vt:lpstr>Length of Stay</vt:lpstr>
      <vt:lpstr>Flight Info</vt:lpstr>
      <vt:lpstr>Transaction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2026-03-25T14:17:19Z</dcterms:created>
  <dcterms:modified xsi:type="dcterms:W3CDTF">2026-03-25T14:29:54Z</dcterms:modified>
</cp:coreProperties>
</file>