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5" autoFilterDateGrouping="1"/>
  </bookViews>
  <sheets>
    <sheet xmlns:r="http://schemas.openxmlformats.org/officeDocument/2006/relationships" name="Monthly Movemen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ntry Exit Distribution" sheetId="3" state="visible" r:id="rId3"/>
    <sheet xmlns:r="http://schemas.openxmlformats.org/officeDocument/2006/relationships" name="Length of Stay" sheetId="4" state="visible" r:id="rId4"/>
    <sheet xmlns:r="http://schemas.openxmlformats.org/officeDocument/2006/relationships" name="Flight Info" sheetId="5" state="visible" r:id="rId5"/>
    <sheet xmlns:r="http://schemas.openxmlformats.org/officeDocument/2006/relationships" name="Transaction Growth" sheetId="6" state="visible" r:id="rId6"/>
    <sheet xmlns:r="http://schemas.openxmlformats.org/officeDocument/2006/relationships" name="Charts" sheetId="7" state="visible" r:id="rId7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,&quot;k&quot;"/>
  </numFmts>
  <fonts count="21">
    <font>
      <name val="Calibri"/>
      <family val="2"/>
      <color theme="1"/>
      <sz val="11"/>
      <scheme val="minor"/>
    </font>
    <font>
      <name val="Calibri"/>
      <family val="2"/>
      <b val="1"/>
      <color rgb="FFFC8896"/>
      <sz val="24"/>
      <scheme val="minor"/>
    </font>
    <font>
      <name val="Calibri"/>
      <family val="2"/>
      <b val="1"/>
      <color rgb="FFFFCBB1"/>
      <sz val="24"/>
      <scheme val="minor"/>
    </font>
    <font>
      <name val="Calibri"/>
      <family val="2"/>
      <color rgb="FFFFD893"/>
      <sz val="14"/>
      <scheme val="minor"/>
    </font>
    <font>
      <name val="Calibri"/>
      <family val="2"/>
      <b val="1"/>
      <color rgb="FFFFD893"/>
      <sz val="24"/>
      <scheme val="minor"/>
    </font>
    <font>
      <name val="Calibri"/>
      <family val="2"/>
      <color rgb="FFA7A3BC"/>
      <sz val="14"/>
      <scheme val="minor"/>
    </font>
    <font>
      <name val="Calibri"/>
      <family val="2"/>
      <b val="1"/>
      <color rgb="FFA7A3BC"/>
      <sz val="24"/>
      <scheme val="minor"/>
    </font>
    <font>
      <name val="Calibri"/>
      <family val="2"/>
      <color rgb="FFFEAFB5"/>
      <sz val="14"/>
      <scheme val="minor"/>
    </font>
    <font>
      <name val="Calibri"/>
      <family val="2"/>
      <b val="1"/>
      <color rgb="FFFEAFB5"/>
      <sz val="24"/>
      <scheme val="minor"/>
    </font>
    <font>
      <name val="Calibri"/>
      <family val="2"/>
      <b val="1"/>
      <color rgb="FFD2B0C8"/>
      <sz val="24"/>
      <scheme val="minor"/>
    </font>
    <font>
      <name val="Calibri"/>
      <family val="2"/>
      <b val="1"/>
      <color rgb="FFC1C1FF"/>
      <sz val="24"/>
      <scheme val="minor"/>
    </font>
    <font>
      <name val="Calibri"/>
      <family val="2"/>
      <b val="1"/>
      <color theme="0" tint="-0.249977111117893"/>
      <sz val="16"/>
      <scheme val="minor"/>
    </font>
    <font>
      <name val="Calibri"/>
      <family val="2"/>
      <b val="1"/>
      <i val="1"/>
      <color theme="0"/>
      <sz val="11"/>
      <scheme val="minor"/>
    </font>
    <font>
      <name val="Calibri"/>
      <family val="2"/>
      <b val="1"/>
      <color theme="6" tint="0.7999816888943144"/>
      <sz val="14"/>
      <scheme val="minor"/>
    </font>
    <font>
      <name val="Calibri"/>
      <family val="2"/>
      <color theme="6" tint="0.5999938962981048"/>
      <sz val="11"/>
      <scheme val="minor"/>
    </font>
    <font>
      <name val="Calibri"/>
      <family val="2"/>
      <b val="1"/>
      <color rgb="FFD2B0C8"/>
      <sz val="20"/>
      <scheme val="minor"/>
    </font>
    <font>
      <name val="Calibri"/>
      <family val="2"/>
      <b val="1"/>
      <color rgb="FFC1C1FF"/>
      <sz val="20"/>
      <scheme val="minor"/>
    </font>
    <font>
      <name val="Calibri"/>
      <family val="2"/>
      <b val="1"/>
      <color theme="6" tint="0.5999938962981048"/>
      <sz val="20"/>
      <scheme val="minor"/>
    </font>
    <font>
      <name val="Calibri"/>
      <family val="2"/>
      <b val="1"/>
      <color theme="0" tint="-0.249977111117893"/>
      <sz val="18"/>
      <scheme val="minor"/>
    </font>
    <font>
      <name val="Calibri"/>
      <family val="2"/>
      <i val="1"/>
      <color theme="0" tint="-0.0499893185216834"/>
      <sz val="12"/>
      <scheme val="minor"/>
    </font>
    <font>
      <name val="Calibri"/>
      <family val="2"/>
      <i val="1"/>
      <color theme="0" tint="-0.1499984740745262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ck">
        <color rgb="FFCE007F"/>
      </top>
      <bottom style="thick">
        <color rgb="FFCE007F"/>
      </bottom>
      <diagonal/>
    </border>
    <border>
      <left/>
      <right/>
      <top/>
      <bottom style="thin">
        <color theme="6" tint="0.7999816888943144"/>
      </bottom>
      <diagonal/>
    </border>
    <border>
      <left/>
      <right/>
      <top style="thin">
        <color theme="6" tint="0.7999816888943144"/>
      </top>
      <bottom style="thin">
        <color theme="6" tint="0.7999816888943144"/>
      </bottom>
      <diagonal/>
    </border>
    <border>
      <left/>
      <right/>
      <top style="thin">
        <color theme="6" tint="0.7999816888943144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164" fontId="1" fillId="0" borderId="0" pivotButton="0" quotePrefix="0" xfId="0"/>
    <xf numFmtId="1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" fontId="9" fillId="0" borderId="0" pivotButton="0" quotePrefix="0" xfId="0"/>
    <xf numFmtId="164" fontId="0" fillId="0" borderId="0" pivotButton="0" quotePrefix="0" xfId="0"/>
    <xf numFmtId="164" fontId="11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3" fillId="0" borderId="2" pivotButton="0" quotePrefix="0" xfId="0"/>
    <xf numFmtId="0" fontId="13" fillId="0" borderId="0" pivotButton="0" quotePrefix="0" xfId="0"/>
    <xf numFmtId="0" fontId="13" fillId="0" borderId="3" pivotButton="0" quotePrefix="0" xfId="0"/>
    <xf numFmtId="0" fontId="14" fillId="0" borderId="2" pivotButton="0" quotePrefix="0" xfId="0"/>
    <xf numFmtId="0" fontId="14" fillId="0" borderId="3" pivotButton="0" quotePrefix="0" xfId="0"/>
    <xf numFmtId="0" fontId="14" fillId="0" borderId="4" pivotButton="0" quotePrefix="0" xfId="0"/>
    <xf numFmtId="0" fontId="0" fillId="0" borderId="0" applyAlignment="1" pivotButton="0" quotePrefix="0" xfId="0">
      <alignment horizontal="left"/>
    </xf>
    <xf numFmtId="0" fontId="15" fillId="0" borderId="0" pivotButton="0" quotePrefix="0" xfId="0"/>
    <xf numFmtId="0" fontId="16" fillId="0" borderId="0" pivotButton="0" quotePrefix="0" xfId="0"/>
    <xf numFmtId="164" fontId="17" fillId="0" borderId="0" pivotButton="0" quotePrefix="0" xfId="0"/>
    <xf numFmtId="164" fontId="18" fillId="0" borderId="0" pivotButton="0" quotePrefix="0" xfId="0"/>
    <xf numFmtId="0" fontId="19" fillId="0" borderId="0" pivotButton="0" quotePrefix="0" xfId="0"/>
    <xf numFmtId="0" fontId="0" fillId="0" borderId="0" pivotButton="0" quotePrefix="1" xfId="0"/>
    <xf numFmtId="0" fontId="20" fillId="0" borderId="0" applyAlignment="1" pivotButton="0" quotePrefix="1" xfId="0">
      <alignment horizont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7E0C6E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'Length of Stay'!$A$10:$A$18</f>
              <strCache>
                <ptCount val="9"/>
                <pt idx="0">
                  <v>1</v>
                </pt>
                <pt idx="1">
                  <v>2</v>
                </pt>
                <pt idx="2">
                  <v>3-6</v>
                </pt>
                <pt idx="3">
                  <v>7-9</v>
                </pt>
                <pt idx="4">
                  <v>10-13</v>
                </pt>
                <pt idx="5">
                  <v>14-20</v>
                </pt>
                <pt idx="6">
                  <v>21-29</v>
                </pt>
                <pt idx="7">
                  <v>30-59</v>
                </pt>
                <pt idx="8">
                  <v>60-89</v>
                </pt>
              </strCache>
            </strRef>
          </cat>
          <val>
            <numRef>
              <f>'Length of Stay'!$B$10:$B$18</f>
              <numCache>
                <formatCode>General</formatCode>
                <ptCount val="9"/>
                <pt idx="0">
                  <v>2011</v>
                </pt>
                <pt idx="1">
                  <v>5073</v>
                </pt>
                <pt idx="2">
                  <v>51369</v>
                </pt>
                <pt idx="3">
                  <v>67697</v>
                </pt>
                <pt idx="4">
                  <v>20818</v>
                </pt>
                <pt idx="5">
                  <v>13685</v>
                </pt>
                <pt idx="6">
                  <v>2116</v>
                </pt>
                <pt idx="7">
                  <v>445</v>
                </pt>
                <pt idx="8">
                  <v>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4"/>
        <axId val="761034800"/>
        <axId val="761031440"/>
      </barChart>
      <catAx>
        <axId val="7610348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baseline="0">
                <a:solidFill>
                  <a:srgbClr val="22A3B5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61031440"/>
        <crosses val="autoZero"/>
        <auto val="1"/>
        <lblAlgn val="ctr"/>
        <lblOffset val="100"/>
        <noMultiLvlLbl val="0"/>
      </catAx>
      <valAx>
        <axId val="761031440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761034800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/>
      <doughnutChart>
        <varyColors val="1"/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22A3B5"/>
              </a:solidFill>
              <a:ln xmlns:a="http://schemas.openxmlformats.org/drawingml/2006/main" w="19050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CE007F"/>
              </a:solidFill>
              <a:ln xmlns:a="http://schemas.openxmlformats.org/drawingml/2006/main" w="1905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7E0C6E"/>
              </a:solidFill>
              <a:ln xmlns:a="http://schemas.openxmlformats.org/drawingml/2006/main" w="19050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0"/>
          </dLbls>
          <cat>
            <strRef>
              <f>'Flight Info'!$B$44:$B$46</f>
              <strCache>
                <ptCount val="3"/>
                <pt idx="0">
                  <v>International</v>
                </pt>
                <pt idx="1">
                  <v>Domestic</v>
                </pt>
                <pt idx="2">
                  <v>CTA</v>
                </pt>
              </strCache>
            </strRef>
          </cat>
          <val>
            <numRef>
              <f>'Flight Info'!$C$44:$C$46</f>
              <numCache>
                <formatCode>General</formatCode>
                <ptCount val="3"/>
                <pt idx="0">
                  <v>118050</v>
                </pt>
                <pt idx="1">
                  <v>14509</v>
                </pt>
                <pt idx="2">
                  <v>2680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  <holeSize val="50"/>
      </doughnut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n-US"/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'Entry Exit Distribution'!$D$2</f>
              <strCache>
                <ptCount val="1"/>
                <pt idx="0">
                  <v>Entry Count</v>
                </pt>
              </strCache>
            </strRef>
          </tx>
          <spPr>
            <a:solidFill xmlns:a="http://schemas.openxmlformats.org/drawingml/2006/main">
              <a:srgbClr val="CE007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'Entry Exit Distribution'!$N$3:$N$13</f>
              <strCache>
                <ptCount val="10"/>
                <pt idx="0">
                  <v>-180</v>
                </pt>
                <pt idx="1">
                  <v>-120 to -180</v>
                </pt>
                <pt idx="2">
                  <v>-60 to -120</v>
                </pt>
                <pt idx="3">
                  <v>-30 to -60</v>
                </pt>
                <pt idx="4">
                  <v>0 to -30</v>
                </pt>
                <pt idx="5">
                  <v>0 to 30</v>
                </pt>
                <pt idx="6">
                  <v>30 to 60</v>
                </pt>
                <pt idx="7">
                  <v>60 to 120</v>
                </pt>
                <pt idx="8">
                  <v>120 to 180</v>
                </pt>
                <pt idx="9">
                  <v>180+</v>
                </pt>
              </strCache>
            </strRef>
          </cat>
          <val>
            <numRef>
              <f>'Entry Exit Distribution'!$D$3:$D$12</f>
              <numCache>
                <formatCode>General</formatCode>
                <ptCount val="10"/>
                <pt idx="0">
                  <v>2364</v>
                </pt>
                <pt idx="1">
                  <v>1476</v>
                </pt>
                <pt idx="2">
                  <v>8152</v>
                </pt>
                <pt idx="3">
                  <v>19928</v>
                </pt>
                <pt idx="4">
                  <v>72540</v>
                </pt>
                <pt idx="5">
                  <v>120736</v>
                </pt>
                <pt idx="6">
                  <v>65328</v>
                </pt>
                <pt idx="7">
                  <v>32367</v>
                </pt>
                <pt idx="8">
                  <v>4549</v>
                </pt>
                <pt idx="9">
                  <v>4346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66675392"/>
        <axId val="1066672512"/>
      </barChart>
      <catAx>
        <axId val="10666753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27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66672512"/>
        <crosses val="autoZero"/>
        <auto val="1"/>
        <lblAlgn val="ctr"/>
        <lblOffset val="100"/>
        <noMultiLvlLbl val="0"/>
      </catAx>
      <valAx>
        <axId val="1066672512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106667539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>
    <from>
      <col>7</col>
      <colOff>114300</colOff>
      <row>3</row>
      <rowOff>76200</rowOff>
    </from>
    <to>
      <col>14</col>
      <colOff>419100</colOff>
      <row>18</row>
      <rowOff>57150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171450</colOff>
      <row>3</row>
      <rowOff>85725</rowOff>
    </from>
    <to>
      <col>6</col>
      <colOff>266700</colOff>
      <row>16</row>
      <rowOff>133350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15</col>
      <colOff>552449</colOff>
      <row>10</row>
      <rowOff>157162</rowOff>
    </from>
    <to>
      <col>24</col>
      <colOff>114300</colOff>
      <row>25</row>
      <rowOff>42862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5"/>
  <sheetViews>
    <sheetView topLeftCell="A4" workbookViewId="0">
      <selection activeCell="E15" sqref="E15"/>
    </sheetView>
  </sheetViews>
  <sheetFormatPr baseColWidth="8" defaultRowHeight="15"/>
  <sheetData>
    <row r="2">
      <c r="A2" t="inlineStr">
        <is>
          <t>Month</t>
        </is>
      </c>
      <c r="B2" t="inlineStr">
        <is>
          <t>Entries</t>
        </is>
      </c>
      <c r="C2" t="inlineStr">
        <is>
          <t>Exits</t>
        </is>
      </c>
    </row>
    <row r="3">
      <c r="A3" t="inlineStr">
        <is>
          <t>2026-01</t>
        </is>
      </c>
      <c r="B3" t="n">
        <v>10130</v>
      </c>
      <c r="C3" t="n">
        <v>11674</v>
      </c>
    </row>
    <row r="4">
      <c r="A4" t="inlineStr">
        <is>
          <t>2026-02</t>
        </is>
      </c>
      <c r="B4" t="n">
        <v>12174</v>
      </c>
      <c r="C4" t="n">
        <v>11745</v>
      </c>
    </row>
    <row r="5">
      <c r="A5" t="inlineStr">
        <is>
          <t>2026-03</t>
        </is>
      </c>
      <c r="B5" t="n">
        <v>13740</v>
      </c>
      <c r="C5" t="n">
        <v>14040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25"/>
  <sheetViews>
    <sheetView showGridLines="0" topLeftCell="A13" workbookViewId="0">
      <selection activeCell="G16" sqref="G16"/>
    </sheetView>
  </sheetViews>
  <sheetFormatPr baseColWidth="8" defaultRowHeight="15"/>
  <cols>
    <col width="39.140625" customWidth="1" min="1" max="1"/>
    <col width="22.7109375" customWidth="1" min="2" max="2"/>
    <col width="26.85546875" customWidth="1" min="3" max="3"/>
    <col width="24.85546875" customWidth="1" min="4" max="4"/>
    <col width="13.140625" customWidth="1" min="5" max="5"/>
    <col width="69.28515625" customWidth="1" min="7" max="7"/>
  </cols>
  <sheetData>
    <row r="2">
      <c r="A2" t="inlineStr">
        <is>
          <t>Metric</t>
        </is>
      </c>
      <c r="B2" t="inlineStr">
        <is>
          <t>Value</t>
        </is>
      </c>
      <c r="C2" t="inlineStr">
        <is>
          <t>Peak Type</t>
        </is>
      </c>
      <c r="D2" t="inlineStr">
        <is>
          <t>Date</t>
        </is>
      </c>
      <c r="E2" t="inlineStr">
        <is>
          <t>Total</t>
        </is>
      </c>
    </row>
    <row r="3" ht="31.5" customHeight="1">
      <c r="A3" t="inlineStr">
        <is>
          <t>Total Transactions (Distinct Bookings)</t>
        </is>
      </c>
      <c r="B3" s="1" t="n">
        <v>40192</v>
      </c>
    </row>
    <row r="4">
      <c r="A4" t="inlineStr">
        <is>
          <t>Total Entries</t>
        </is>
      </c>
      <c r="B4" t="n">
        <v>36044</v>
      </c>
    </row>
    <row r="5">
      <c r="A5" t="inlineStr">
        <is>
          <t>Total Exits</t>
        </is>
      </c>
      <c r="B5" t="n">
        <v>37459</v>
      </c>
    </row>
    <row r="6">
      <c r="A6" t="inlineStr">
        <is>
          <t>Entries Validation Passed</t>
        </is>
      </c>
      <c r="B6" t="n">
        <v>1</v>
      </c>
    </row>
    <row r="7">
      <c r="A7" t="inlineStr">
        <is>
          <t>Exits Validation Passed</t>
        </is>
      </c>
      <c r="B7" t="n">
        <v>1</v>
      </c>
    </row>
    <row r="8" ht="31.5" customHeight="1">
      <c r="A8" t="inlineStr">
        <is>
          <t>Average Kiosk Transaction Time (secs)</t>
        </is>
      </c>
      <c r="B8" s="2" t="n">
        <v>26.28950838696065</v>
      </c>
    </row>
    <row r="9">
      <c r="A9" t="inlineStr">
        <is>
          <t>Invalid Duration Count</t>
        </is>
      </c>
      <c r="B9" t="n">
        <v>5</v>
      </c>
    </row>
    <row r="10">
      <c r="A10" t="inlineStr">
        <is>
          <t>Total Transactions</t>
        </is>
      </c>
      <c r="B10" t="n">
        <v>75837</v>
      </c>
    </row>
    <row r="11" ht="31.5" customHeight="1">
      <c r="C11" t="inlineStr">
        <is>
          <t>Peak Entries Day</t>
        </is>
      </c>
      <c r="D11" s="3" t="inlineStr">
        <is>
          <t>07 Feb 2026</t>
        </is>
      </c>
      <c r="E11" s="4" t="n">
        <v>711</v>
      </c>
    </row>
    <row r="12" ht="31.5" customHeight="1">
      <c r="C12" t="inlineStr">
        <is>
          <t>Peak Exits Day</t>
        </is>
      </c>
      <c r="D12" s="5" t="inlineStr">
        <is>
          <t>03 Jan 2026</t>
        </is>
      </c>
      <c r="E12" s="6" t="n">
        <v>812</v>
      </c>
    </row>
    <row r="13" ht="31.5" customHeight="1">
      <c r="C13" t="inlineStr">
        <is>
          <t>Peak Movements Day</t>
        </is>
      </c>
      <c r="D13" s="7" t="inlineStr">
        <is>
          <t>14 Feb 2026</t>
        </is>
      </c>
      <c r="E13" s="8" t="n">
        <v>1251</v>
      </c>
    </row>
    <row r="14" ht="31.5" customHeight="1">
      <c r="A14" t="inlineStr">
        <is>
          <t>Average Entry Difference (HH:MM)</t>
        </is>
      </c>
      <c r="B14" s="9" t="inlineStr">
        <is>
          <t>01:22</t>
        </is>
      </c>
    </row>
    <row r="15" ht="31.5" customHeight="1">
      <c r="A15" t="inlineStr">
        <is>
          <t>Median Entry Difference (HH:MM)</t>
        </is>
      </c>
      <c r="B15" s="22" t="inlineStr">
        <is>
          <t>00:14</t>
        </is>
      </c>
    </row>
    <row r="16" ht="31.5" customHeight="1">
      <c r="A16" t="inlineStr">
        <is>
          <t>Average Exit Difference (HH:MM)</t>
        </is>
      </c>
      <c r="B16" s="10" t="inlineStr">
        <is>
          <t>09:42</t>
        </is>
      </c>
    </row>
    <row r="17" ht="31.5" customHeight="1">
      <c r="A17" t="inlineStr">
        <is>
          <t>Median Exit Difference (HH:MM)</t>
        </is>
      </c>
      <c r="B17" s="23" t="inlineStr">
        <is>
          <t>00:38</t>
        </is>
      </c>
    </row>
    <row r="18">
      <c r="A18" t="inlineStr">
        <is>
          <t>Entry Min (mins)</t>
        </is>
      </c>
      <c r="B18" t="n">
        <v>-44351.35</v>
      </c>
    </row>
    <row r="19">
      <c r="A19" t="inlineStr">
        <is>
          <t>Entry 25th Percentile (mins)</t>
        </is>
      </c>
      <c r="B19" t="n">
        <v>-4.7</v>
      </c>
    </row>
    <row r="20">
      <c r="A20" t="inlineStr">
        <is>
          <t>Entry 75th Percentile (mins)</t>
        </is>
      </c>
      <c r="B20" t="n">
        <v>37.28333333333333</v>
      </c>
    </row>
    <row r="21">
      <c r="A21" t="inlineStr">
        <is>
          <t>Entry Max (mins)</t>
        </is>
      </c>
      <c r="B21" t="n">
        <v>1668052.166666667</v>
      </c>
    </row>
    <row r="22">
      <c r="A22" t="inlineStr">
        <is>
          <t>Exit Min (mins)</t>
        </is>
      </c>
      <c r="B22" t="n">
        <v>-397902</v>
      </c>
    </row>
    <row r="23">
      <c r="A23" t="inlineStr">
        <is>
          <t>Exit 25th Percentile (mins)</t>
        </is>
      </c>
      <c r="B23" t="n">
        <v>20</v>
      </c>
    </row>
    <row r="24">
      <c r="A24" t="inlineStr">
        <is>
          <t>Exit 75th Percentile (mins)</t>
        </is>
      </c>
      <c r="B24" t="n">
        <v>61</v>
      </c>
    </row>
    <row r="25">
      <c r="A25" t="inlineStr">
        <is>
          <t>Exit Max (mins)</t>
        </is>
      </c>
      <c r="B25" t="n">
        <v>2067995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15"/>
  <sheetViews>
    <sheetView showGridLines="0" workbookViewId="0">
      <selection activeCell="Q7" sqref="Q7"/>
    </sheetView>
  </sheetViews>
  <sheetFormatPr baseColWidth="8" defaultRowHeight="15"/>
  <cols>
    <col width="11.28515625" customWidth="1" min="14" max="14"/>
    <col width="36.28515625" customWidth="1" min="16" max="16"/>
  </cols>
  <sheetData>
    <row r="2">
      <c r="A2" t="inlineStr">
        <is>
          <t>Bin Start</t>
        </is>
      </c>
      <c r="B2" t="inlineStr">
        <is>
          <t>Bin End</t>
        </is>
      </c>
      <c r="C2" t="inlineStr">
        <is>
          <t>Bin Midpoint</t>
        </is>
      </c>
      <c r="D2" t="inlineStr">
        <is>
          <t>Entry Count</t>
        </is>
      </c>
      <c r="E2" t="inlineStr">
        <is>
          <t>Exit Count</t>
        </is>
      </c>
      <c r="F2" t="inlineStr">
        <is>
          <t>Zero Line</t>
        </is>
      </c>
      <c r="G2" t="inlineStr">
        <is>
          <t>Avg Entry Line</t>
        </is>
      </c>
      <c r="H2" t="inlineStr">
        <is>
          <t>Median Entry Line</t>
        </is>
      </c>
      <c r="I2" t="inlineStr">
        <is>
          <t>Avg Exit Line</t>
        </is>
      </c>
      <c r="J2" t="inlineStr">
        <is>
          <t>Median Exit Line</t>
        </is>
      </c>
      <c r="N2" t="inlineStr">
        <is>
          <t>Minutes</t>
        </is>
      </c>
    </row>
    <row r="3">
      <c r="A3" t="n">
        <v>-99999</v>
      </c>
      <c r="B3" t="n">
        <v>-180</v>
      </c>
      <c r="C3" t="n">
        <v>-50089.5</v>
      </c>
      <c r="D3" t="n">
        <v>475</v>
      </c>
      <c r="E3" t="n">
        <v>479</v>
      </c>
      <c r="F3" t="n">
        <v>0</v>
      </c>
      <c r="G3" t="n">
        <v>82.63113219573093</v>
      </c>
      <c r="H3" t="n">
        <v>14.35</v>
      </c>
      <c r="I3" t="n">
        <v>582.6490690959777</v>
      </c>
      <c r="J3" t="n">
        <v>38</v>
      </c>
      <c r="N3" s="21">
        <f>B3</f>
        <v/>
      </c>
    </row>
    <row r="4">
      <c r="A4" t="n">
        <v>-180</v>
      </c>
      <c r="B4" t="n">
        <v>-120</v>
      </c>
      <c r="C4" t="n">
        <v>-150</v>
      </c>
      <c r="D4" t="n">
        <v>379</v>
      </c>
      <c r="E4" t="n">
        <v>85</v>
      </c>
      <c r="F4" t="n">
        <v>0</v>
      </c>
      <c r="G4" t="n">
        <v>82.63113219573093</v>
      </c>
      <c r="H4" t="n">
        <v>14.35</v>
      </c>
      <c r="I4" t="n">
        <v>582.6490690959777</v>
      </c>
      <c r="J4" t="n">
        <v>38</v>
      </c>
      <c r="N4" s="21">
        <f>B4 &amp; " to " &amp; A4</f>
        <v/>
      </c>
    </row>
    <row r="5">
      <c r="A5" t="n">
        <v>-120</v>
      </c>
      <c r="B5" t="n">
        <v>-60</v>
      </c>
      <c r="C5" t="n">
        <v>-90</v>
      </c>
      <c r="D5" t="n">
        <v>1534</v>
      </c>
      <c r="E5" t="n">
        <v>104</v>
      </c>
      <c r="F5" t="n">
        <v>0</v>
      </c>
      <c r="G5" t="n">
        <v>82.63113219573093</v>
      </c>
      <c r="H5" t="n">
        <v>14.35</v>
      </c>
      <c r="I5" t="n">
        <v>582.6490690959777</v>
      </c>
      <c r="J5" t="n">
        <v>38</v>
      </c>
      <c r="N5" s="21">
        <f>B5 &amp; " to " &amp; A5</f>
        <v/>
      </c>
    </row>
    <row r="6">
      <c r="A6" t="n">
        <v>-60</v>
      </c>
      <c r="B6" t="n">
        <v>-30</v>
      </c>
      <c r="C6" t="n">
        <v>-45</v>
      </c>
      <c r="D6" t="n">
        <v>4116</v>
      </c>
      <c r="E6" t="n">
        <v>129</v>
      </c>
      <c r="F6" t="n">
        <v>0</v>
      </c>
      <c r="G6" t="n">
        <v>82.63113219573093</v>
      </c>
      <c r="H6" t="n">
        <v>14.35</v>
      </c>
      <c r="I6" t="n">
        <v>582.6490690959777</v>
      </c>
      <c r="J6" t="n">
        <v>38</v>
      </c>
      <c r="N6" s="21">
        <f>B6 &amp; " to " &amp; A6</f>
        <v/>
      </c>
    </row>
    <row r="7">
      <c r="A7" t="n">
        <v>-30</v>
      </c>
      <c r="B7" t="n">
        <v>0</v>
      </c>
      <c r="C7" t="n">
        <v>-15</v>
      </c>
      <c r="D7" t="n">
        <v>16473</v>
      </c>
      <c r="E7" t="n">
        <v>1494</v>
      </c>
      <c r="F7" t="n">
        <v>0</v>
      </c>
      <c r="G7" t="n">
        <v>82.63113219573093</v>
      </c>
      <c r="H7" t="n">
        <v>14.35</v>
      </c>
      <c r="I7" t="n">
        <v>582.6490690959777</v>
      </c>
      <c r="J7" t="n">
        <v>38</v>
      </c>
      <c r="N7" s="21">
        <f>B7 &amp; " to " &amp; A7</f>
        <v/>
      </c>
    </row>
    <row r="8">
      <c r="A8" t="n">
        <v>0</v>
      </c>
      <c r="B8" t="n">
        <v>30</v>
      </c>
      <c r="C8" t="n">
        <v>15</v>
      </c>
      <c r="D8" t="n">
        <v>28799</v>
      </c>
      <c r="E8" t="n">
        <v>12926</v>
      </c>
      <c r="F8" t="n">
        <v>0</v>
      </c>
      <c r="G8" t="n">
        <v>82.63113219573093</v>
      </c>
      <c r="H8" t="n">
        <v>14.35</v>
      </c>
      <c r="I8" t="n">
        <v>582.6490690959777</v>
      </c>
      <c r="J8" t="n">
        <v>38</v>
      </c>
      <c r="N8" s="21">
        <f>A8 &amp; " to " &amp; B8</f>
        <v/>
      </c>
    </row>
    <row r="9">
      <c r="A9" t="n">
        <v>30</v>
      </c>
      <c r="B9" t="n">
        <v>60</v>
      </c>
      <c r="C9" t="n">
        <v>45</v>
      </c>
      <c r="D9" t="n">
        <v>14910</v>
      </c>
      <c r="E9" t="n">
        <v>14345</v>
      </c>
      <c r="F9" t="n">
        <v>0</v>
      </c>
      <c r="G9" t="n">
        <v>82.63113219573093</v>
      </c>
      <c r="H9" t="n">
        <v>14.35</v>
      </c>
      <c r="I9" t="n">
        <v>582.6490690959777</v>
      </c>
      <c r="J9" t="n">
        <v>38</v>
      </c>
      <c r="N9" s="21">
        <f>A9 &amp; " to " &amp; B9</f>
        <v/>
      </c>
    </row>
    <row r="10">
      <c r="A10" t="n">
        <v>60</v>
      </c>
      <c r="B10" t="n">
        <v>120</v>
      </c>
      <c r="C10" t="n">
        <v>90</v>
      </c>
      <c r="D10" t="n">
        <v>7073</v>
      </c>
      <c r="E10" t="n">
        <v>7601</v>
      </c>
      <c r="F10" t="n">
        <v>0</v>
      </c>
      <c r="G10" t="n">
        <v>82.63113219573093</v>
      </c>
      <c r="H10" t="n">
        <v>14.35</v>
      </c>
      <c r="I10" t="n">
        <v>582.6490690959777</v>
      </c>
      <c r="J10" t="n">
        <v>38</v>
      </c>
      <c r="N10" s="21">
        <f>A10 &amp; " to " &amp; B10</f>
        <v/>
      </c>
    </row>
    <row r="11">
      <c r="A11" t="n">
        <v>120</v>
      </c>
      <c r="B11" t="n">
        <v>180</v>
      </c>
      <c r="C11" t="n">
        <v>150</v>
      </c>
      <c r="D11" t="n">
        <v>1029</v>
      </c>
      <c r="E11" t="n">
        <v>1165</v>
      </c>
      <c r="F11" t="n">
        <v>0</v>
      </c>
      <c r="G11" t="n">
        <v>82.63113219573093</v>
      </c>
      <c r="H11" t="n">
        <v>14.35</v>
      </c>
      <c r="I11" t="n">
        <v>582.6490690959777</v>
      </c>
      <c r="J11" t="n">
        <v>38</v>
      </c>
      <c r="N11" s="21">
        <f>A11 &amp; " to " &amp; B11</f>
        <v/>
      </c>
    </row>
    <row r="12">
      <c r="A12" t="n">
        <v>180</v>
      </c>
      <c r="B12" t="n">
        <v>99999</v>
      </c>
      <c r="C12" t="n">
        <v>50089.5</v>
      </c>
      <c r="D12" t="n">
        <v>1041</v>
      </c>
      <c r="E12" t="n">
        <v>1818</v>
      </c>
      <c r="F12" t="n">
        <v>0</v>
      </c>
      <c r="G12" t="n">
        <v>82.63113219573093</v>
      </c>
      <c r="H12" t="n">
        <v>14.35</v>
      </c>
      <c r="I12" t="n">
        <v>582.6490690959777</v>
      </c>
      <c r="J12" t="n">
        <v>38</v>
      </c>
      <c r="N12" s="21">
        <f>A12 &amp; "+"</f>
        <v/>
      </c>
    </row>
    <row r="14" ht="60.95" customHeight="1">
      <c r="P14" s="28">
        <f>"The majority of fastpark users will check-in "&amp; TEXT(ABS(H3), 0) &amp; " minutes " &amp; IF(H3 &lt;0, " earlier ", "later ") &amp; "than their booked entry time" &amp; " &amp; check-out " &amp; TEXT(ABS(J3), 0) &amp; " minutes " &amp; IF(J3 &lt;0, " earlier ", "later ") &amp; "than their booked exit time"</f>
        <v/>
      </c>
    </row>
    <row r="15" ht="29.1" customHeight="1">
      <c r="P15" s="2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18"/>
  <sheetViews>
    <sheetView showGridLines="0" workbookViewId="0">
      <selection activeCell="H9" sqref="H9"/>
    </sheetView>
  </sheetViews>
  <sheetFormatPr baseColWidth="8" defaultRowHeight="15"/>
  <cols>
    <col width="17.7109375" customWidth="1" min="1" max="1"/>
    <col width="14.140625" customWidth="1" min="2" max="2"/>
    <col width="13.7109375" customWidth="1" min="3" max="3"/>
  </cols>
  <sheetData>
    <row r="2">
      <c r="A2" t="inlineStr">
        <is>
          <t>BookingReference</t>
        </is>
      </c>
      <c r="B2" t="inlineStr">
        <is>
          <t>Length of Stay Days</t>
        </is>
      </c>
      <c r="C2" t="inlineStr">
        <is>
          <t>Kind</t>
        </is>
      </c>
    </row>
    <row r="3">
      <c r="A3" t="inlineStr">
        <is>
          <t>Z3OULUH</t>
        </is>
      </c>
      <c r="B3" t="n">
        <v>89.22634259259259</v>
      </c>
      <c r="C3" t="inlineStr">
        <is>
          <t>Top 3</t>
        </is>
      </c>
    </row>
    <row r="4">
      <c r="A4" t="inlineStr">
        <is>
          <t>LD751DR</t>
        </is>
      </c>
      <c r="B4" t="n">
        <v>83.85232638888888</v>
      </c>
      <c r="C4" t="inlineStr">
        <is>
          <t>Top 3</t>
        </is>
      </c>
    </row>
    <row r="5">
      <c r="A5" t="inlineStr">
        <is>
          <t>AXF56QZER</t>
        </is>
      </c>
      <c r="B5" t="n">
        <v>75.66299768518519</v>
      </c>
      <c r="C5" t="inlineStr">
        <is>
          <t>Top 3</t>
        </is>
      </c>
    </row>
    <row r="6">
      <c r="A6" t="inlineStr">
        <is>
          <t>AX88YV1AP</t>
        </is>
      </c>
      <c r="B6" t="n">
        <v>0.00849537037037037</v>
      </c>
      <c r="C6" t="inlineStr">
        <is>
          <t>Bottom 3</t>
        </is>
      </c>
    </row>
    <row r="7">
      <c r="A7" t="inlineStr">
        <is>
          <t>8IU225NYK</t>
        </is>
      </c>
      <c r="B7" t="n">
        <v>0.01303240740740741</v>
      </c>
      <c r="C7" t="inlineStr">
        <is>
          <t>Bottom 3</t>
        </is>
      </c>
    </row>
    <row r="8">
      <c r="A8" t="inlineStr">
        <is>
          <t>AXP3AV068</t>
        </is>
      </c>
      <c r="B8" t="n">
        <v>0.01381944444444444</v>
      </c>
      <c r="C8" t="inlineStr">
        <is>
          <t>Bottom 3</t>
        </is>
      </c>
    </row>
    <row r="9" ht="31.5" customHeight="1">
      <c r="A9" t="inlineStr">
        <is>
          <t>Average LOS</t>
        </is>
      </c>
      <c r="B9" s="11" t="n">
        <v>7.388901963174205</v>
      </c>
      <c r="C9" t="inlineStr">
        <is>
          <t>Average</t>
        </is>
      </c>
    </row>
    <row r="10">
      <c r="A10" t="inlineStr">
        <is>
          <t>1</t>
        </is>
      </c>
      <c r="B10" t="n">
        <v>805</v>
      </c>
      <c r="C10" t="inlineStr">
        <is>
          <t>Bins</t>
        </is>
      </c>
    </row>
    <row r="11">
      <c r="A11" t="inlineStr">
        <is>
          <t>2</t>
        </is>
      </c>
      <c r="B11" t="n">
        <v>1610</v>
      </c>
      <c r="C11" t="inlineStr">
        <is>
          <t>Bins</t>
        </is>
      </c>
    </row>
    <row r="12">
      <c r="A12" t="inlineStr">
        <is>
          <t>3-6</t>
        </is>
      </c>
      <c r="B12" t="n">
        <v>14594</v>
      </c>
      <c r="C12" t="inlineStr">
        <is>
          <t>Bins</t>
        </is>
      </c>
    </row>
    <row r="13">
      <c r="A13" t="inlineStr">
        <is>
          <t>7-9</t>
        </is>
      </c>
      <c r="B13" t="n">
        <v>13746</v>
      </c>
      <c r="C13" t="inlineStr">
        <is>
          <t>Bins</t>
        </is>
      </c>
    </row>
    <row r="14">
      <c r="A14" t="inlineStr">
        <is>
          <t>10-13</t>
        </is>
      </c>
      <c r="B14" t="n">
        <v>3040</v>
      </c>
      <c r="C14" t="inlineStr">
        <is>
          <t>Bins</t>
        </is>
      </c>
    </row>
    <row r="15">
      <c r="A15" t="inlineStr">
        <is>
          <t>14-20</t>
        </is>
      </c>
      <c r="B15" t="n">
        <v>2417</v>
      </c>
      <c r="C15" t="inlineStr">
        <is>
          <t>Bins</t>
        </is>
      </c>
    </row>
    <row r="16">
      <c r="A16" t="inlineStr">
        <is>
          <t>21-29</t>
        </is>
      </c>
      <c r="B16" t="n">
        <v>646</v>
      </c>
      <c r="C16" t="inlineStr">
        <is>
          <t>Bins</t>
        </is>
      </c>
    </row>
    <row r="17">
      <c r="A17" t="inlineStr">
        <is>
          <t>30-59</t>
        </is>
      </c>
      <c r="B17" t="n">
        <v>164</v>
      </c>
      <c r="C17" t="inlineStr">
        <is>
          <t>Bins</t>
        </is>
      </c>
    </row>
    <row r="18">
      <c r="A18" t="inlineStr">
        <is>
          <t>60-89</t>
        </is>
      </c>
      <c r="B18" t="n">
        <v>13</v>
      </c>
      <c r="C18" t="inlineStr">
        <is>
          <t>Bins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39"/>
  <sheetViews>
    <sheetView showGridLines="0" workbookViewId="0">
      <selection activeCell="C44" sqref="C44"/>
    </sheetView>
  </sheetViews>
  <sheetFormatPr baseColWidth="8" defaultRowHeight="15"/>
  <cols>
    <col width="18" customWidth="1" min="2" max="3"/>
    <col width="51" customWidth="1" min="6" max="6"/>
  </cols>
  <sheetData>
    <row r="2">
      <c r="A2" t="inlineStr">
        <is>
          <t>Category</t>
        </is>
      </c>
      <c r="B2" t="inlineStr">
        <is>
          <t>Name</t>
        </is>
      </c>
      <c r="C2" t="inlineStr">
        <is>
          <t>Count</t>
        </is>
      </c>
      <c r="D2" t="inlineStr">
        <is>
          <t>Percent</t>
        </is>
      </c>
    </row>
    <row r="3" ht="18.75" customHeight="1">
      <c r="A3" t="inlineStr">
        <is>
          <t>Airline</t>
        </is>
      </c>
      <c r="B3" s="15" t="inlineStr">
        <is>
          <t>RYANAIR</t>
        </is>
      </c>
      <c r="C3" t="n">
        <v>7592</v>
      </c>
      <c r="D3" t="n">
        <v>18.88933121019108</v>
      </c>
      <c r="E3" s="18">
        <f>TEXT(D3, 0) &amp; "%"</f>
        <v/>
      </c>
    </row>
    <row r="4" ht="18.75" customHeight="1">
      <c r="A4" t="inlineStr">
        <is>
          <t>Airline</t>
        </is>
      </c>
      <c r="B4" s="17" t="inlineStr">
        <is>
          <t>JET2</t>
        </is>
      </c>
      <c r="C4" t="n">
        <v>7590</v>
      </c>
      <c r="D4" t="n">
        <v>18.8843550955414</v>
      </c>
      <c r="E4" s="19">
        <f>TEXT(D4, 0) &amp; "%"</f>
        <v/>
      </c>
    </row>
    <row r="5" ht="18.75" customHeight="1">
      <c r="A5" t="inlineStr">
        <is>
          <t>Airline</t>
        </is>
      </c>
      <c r="B5" s="16" t="inlineStr">
        <is>
          <t>EASYJET</t>
        </is>
      </c>
      <c r="C5" t="n">
        <v>7427</v>
      </c>
      <c r="D5" t="n">
        <v>18.47880175159236</v>
      </c>
      <c r="E5" s="20">
        <f>TEXT(D5, 0) &amp; "%"</f>
        <v/>
      </c>
    </row>
    <row r="6">
      <c r="A6" t="inlineStr">
        <is>
          <t>Airline</t>
        </is>
      </c>
      <c r="B6" t="inlineStr">
        <is>
          <t>BRITISH AIRWAYS</t>
        </is>
      </c>
      <c r="C6" t="n">
        <v>3106</v>
      </c>
      <c r="D6" t="n">
        <v>7.727906050955415</v>
      </c>
    </row>
    <row r="7">
      <c r="A7" t="inlineStr">
        <is>
          <t>Airline</t>
        </is>
      </c>
      <c r="B7" t="inlineStr">
        <is>
          <t>RYANAIR UK</t>
        </is>
      </c>
      <c r="C7" t="n">
        <v>936</v>
      </c>
      <c r="D7" t="n">
        <v>2.328821656050955</v>
      </c>
    </row>
    <row r="8">
      <c r="A8" t="inlineStr">
        <is>
          <t>Airline</t>
        </is>
      </c>
      <c r="B8" t="inlineStr">
        <is>
          <t>QATAR AIRWAYS</t>
        </is>
      </c>
      <c r="C8" t="n">
        <v>908</v>
      </c>
      <c r="D8" t="n">
        <v>2.259156050955414</v>
      </c>
    </row>
    <row r="9">
      <c r="A9" t="inlineStr">
        <is>
          <t>Airline</t>
        </is>
      </c>
      <c r="B9" t="inlineStr">
        <is>
          <t>KLM</t>
        </is>
      </c>
      <c r="C9" t="n">
        <v>771</v>
      </c>
      <c r="D9" t="n">
        <v>1.918292197452229</v>
      </c>
    </row>
    <row r="10">
      <c r="A10" t="inlineStr">
        <is>
          <t>Airline</t>
        </is>
      </c>
      <c r="B10" t="inlineStr">
        <is>
          <t>EMIRATES</t>
        </is>
      </c>
      <c r="C10" t="n">
        <v>770</v>
      </c>
      <c r="D10" t="n">
        <v>1.915804140127389</v>
      </c>
    </row>
    <row r="11">
      <c r="A11" t="inlineStr">
        <is>
          <t>Airline</t>
        </is>
      </c>
      <c r="B11" t="inlineStr">
        <is>
          <t>UNITED AIRLINES</t>
        </is>
      </c>
      <c r="C11" t="n">
        <v>513</v>
      </c>
      <c r="D11" t="n">
        <v>1.276373407643312</v>
      </c>
    </row>
    <row r="12">
      <c r="A12" t="inlineStr">
        <is>
          <t>Airline</t>
        </is>
      </c>
      <c r="B12" t="inlineStr">
        <is>
          <t>AIR FRANCE</t>
        </is>
      </c>
      <c r="C12" t="n">
        <v>421</v>
      </c>
      <c r="D12" t="n">
        <v>1.047472133757962</v>
      </c>
    </row>
    <row r="13">
      <c r="A13" t="inlineStr">
        <is>
          <t>Airline</t>
        </is>
      </c>
      <c r="B13" t="inlineStr">
        <is>
          <t>TUI AIRWAYS</t>
        </is>
      </c>
      <c r="C13" t="n">
        <v>393</v>
      </c>
      <c r="D13" t="n">
        <v>0.9778065286624205</v>
      </c>
    </row>
    <row r="14">
      <c r="A14" t="inlineStr">
        <is>
          <t>Airline</t>
        </is>
      </c>
      <c r="B14" t="inlineStr">
        <is>
          <t>AER LINGUS</t>
        </is>
      </c>
      <c r="C14" t="n">
        <v>349</v>
      </c>
      <c r="D14" t="n">
        <v>0.8683320063694269</v>
      </c>
    </row>
    <row r="15">
      <c r="A15" t="inlineStr">
        <is>
          <t>Airline</t>
        </is>
      </c>
      <c r="B15" t="inlineStr">
        <is>
          <t>TURKISH AIRLINES</t>
        </is>
      </c>
      <c r="C15" t="n">
        <v>342</v>
      </c>
      <c r="D15" t="n">
        <v>0.8509156050955414</v>
      </c>
    </row>
    <row r="16">
      <c r="A16" t="inlineStr">
        <is>
          <t>Airline</t>
        </is>
      </c>
      <c r="B16" t="inlineStr">
        <is>
          <t>LUFTHANSA</t>
        </is>
      </c>
      <c r="C16" t="n">
        <v>322</v>
      </c>
      <c r="D16" t="n">
        <v>0.8011544585987261</v>
      </c>
    </row>
    <row r="17">
      <c r="A17" t="inlineStr">
        <is>
          <t>Airline</t>
        </is>
      </c>
      <c r="B17" t="inlineStr">
        <is>
          <t>LOGANAIR</t>
        </is>
      </c>
      <c r="C17" t="n">
        <v>266</v>
      </c>
      <c r="D17" t="n">
        <v>0.6618232484076434</v>
      </c>
    </row>
    <row r="18">
      <c r="A18" t="inlineStr">
        <is>
          <t>Airline</t>
        </is>
      </c>
      <c r="B18" t="inlineStr">
        <is>
          <t>PEGASUS AIRLINES</t>
        </is>
      </c>
      <c r="C18" t="n">
        <v>176</v>
      </c>
      <c r="D18" t="n">
        <v>0.4378980891719745</v>
      </c>
    </row>
    <row r="19">
      <c r="A19" t="inlineStr">
        <is>
          <t>Airline</t>
        </is>
      </c>
      <c r="B19" t="inlineStr">
        <is>
          <t>FINNAIR</t>
        </is>
      </c>
      <c r="C19" t="n">
        <v>124</v>
      </c>
      <c r="D19" t="n">
        <v>0.3085191082802548</v>
      </c>
    </row>
    <row r="20">
      <c r="A20" t="inlineStr">
        <is>
          <t>Airline</t>
        </is>
      </c>
      <c r="B20" t="inlineStr">
        <is>
          <t>EDELWEISS AIR</t>
        </is>
      </c>
      <c r="C20" t="n">
        <v>105</v>
      </c>
      <c r="D20" t="n">
        <v>0.2612460191082802</v>
      </c>
    </row>
    <row r="21">
      <c r="A21" t="inlineStr">
        <is>
          <t>Airline</t>
        </is>
      </c>
      <c r="B21" t="inlineStr">
        <is>
          <t>NORWEGIAN AIR SWEDEN</t>
        </is>
      </c>
      <c r="C21" t="n">
        <v>99</v>
      </c>
      <c r="D21" t="n">
        <v>0.2463176751592357</v>
      </c>
    </row>
    <row r="22">
      <c r="A22" t="inlineStr">
        <is>
          <t>Airline</t>
        </is>
      </c>
      <c r="B22" t="inlineStr">
        <is>
          <t>VUELING AIRLINES</t>
        </is>
      </c>
      <c r="C22" t="n">
        <v>73</v>
      </c>
      <c r="D22" t="n">
        <v>0.1816281847133758</v>
      </c>
    </row>
    <row r="23">
      <c r="A23" t="inlineStr">
        <is>
          <t>Airline</t>
        </is>
      </c>
      <c r="B23" t="inlineStr">
        <is>
          <t>ICELANDAIR</t>
        </is>
      </c>
      <c r="C23" t="n">
        <v>71</v>
      </c>
      <c r="D23" t="n">
        <v>0.1766520700636943</v>
      </c>
    </row>
    <row r="24">
      <c r="A24" t="inlineStr">
        <is>
          <t>Airline</t>
        </is>
      </c>
      <c r="B24" t="inlineStr">
        <is>
          <t>DELTA AIR LINES</t>
        </is>
      </c>
      <c r="C24" t="n">
        <v>65</v>
      </c>
      <c r="D24" t="n">
        <v>0.1617237261146497</v>
      </c>
    </row>
    <row r="25">
      <c r="A25" t="inlineStr">
        <is>
          <t>Airline</t>
        </is>
      </c>
      <c r="B25" t="inlineStr">
        <is>
          <t>AEGEAN AIRLINES</t>
        </is>
      </c>
      <c r="C25" t="n">
        <v>62</v>
      </c>
      <c r="D25" t="n">
        <v>0.1542595541401274</v>
      </c>
    </row>
    <row r="26">
      <c r="A26" t="inlineStr">
        <is>
          <t>Airline</t>
        </is>
      </c>
      <c r="B26" t="inlineStr">
        <is>
          <t>EUROWINGS</t>
        </is>
      </c>
      <c r="C26" t="n">
        <v>42</v>
      </c>
      <c r="D26" t="n">
        <v>0.1044984076433121</v>
      </c>
    </row>
    <row r="27">
      <c r="A27" t="inlineStr">
        <is>
          <t>Airline</t>
        </is>
      </c>
      <c r="B27" t="inlineStr">
        <is>
          <t>SUNEXPRESS</t>
        </is>
      </c>
      <c r="C27" t="n">
        <v>36</v>
      </c>
      <c r="D27" t="n">
        <v>0.08957006369426752</v>
      </c>
    </row>
    <row r="28">
      <c r="A28" t="inlineStr">
        <is>
          <t>Airline</t>
        </is>
      </c>
      <c r="B28" t="inlineStr">
        <is>
          <t>AMERICAN AIRLINES</t>
        </is>
      </c>
      <c r="C28" t="n">
        <v>31</v>
      </c>
      <c r="D28" t="n">
        <v>0.0771297770700637</v>
      </c>
    </row>
    <row r="29">
      <c r="A29" t="inlineStr">
        <is>
          <t>Airline</t>
        </is>
      </c>
      <c r="B29" t="inlineStr">
        <is>
          <t>HAINAN AIRLINES</t>
        </is>
      </c>
      <c r="C29" t="n">
        <v>28</v>
      </c>
      <c r="D29" t="n">
        <v>0.0696656050955414</v>
      </c>
    </row>
    <row r="30">
      <c r="A30" t="inlineStr">
        <is>
          <t>Airline</t>
        </is>
      </c>
      <c r="B30" t="inlineStr">
        <is>
          <t>BRUSSELS AIRLINES</t>
        </is>
      </c>
      <c r="C30" t="n">
        <v>16</v>
      </c>
      <c r="D30" t="n">
        <v>0.03980891719745223</v>
      </c>
    </row>
    <row r="31">
      <c r="A31" t="inlineStr">
        <is>
          <t>Airline</t>
        </is>
      </c>
      <c r="B31" t="inlineStr">
        <is>
          <t>AURIGNY AIR SERVICES</t>
        </is>
      </c>
      <c r="C31" t="n">
        <v>11</v>
      </c>
      <c r="D31" t="n">
        <v>0.02736863057324841</v>
      </c>
    </row>
    <row r="32">
      <c r="A32" t="inlineStr">
        <is>
          <t>Airline</t>
        </is>
      </c>
      <c r="B32" t="inlineStr">
        <is>
          <t>SAS</t>
        </is>
      </c>
      <c r="C32" t="n">
        <v>11</v>
      </c>
      <c r="D32" t="n">
        <v>0.02736863057324841</v>
      </c>
    </row>
    <row r="33">
      <c r="A33" t="inlineStr">
        <is>
          <t>Airline</t>
        </is>
      </c>
      <c r="B33" t="inlineStr">
        <is>
          <t>NORWEGIAN</t>
        </is>
      </c>
      <c r="C33" t="n">
        <v>3</v>
      </c>
      <c r="D33" t="n">
        <v>0.007464171974522293</v>
      </c>
    </row>
    <row r="34">
      <c r="A34" t="inlineStr">
        <is>
          <t>Airline</t>
        </is>
      </c>
      <c r="B34" t="inlineStr">
        <is>
          <t>AIR CANADA</t>
        </is>
      </c>
      <c r="C34" t="n">
        <v>2</v>
      </c>
      <c r="D34" t="n">
        <v>0.004976114649681529</v>
      </c>
    </row>
    <row r="35">
      <c r="A35" t="inlineStr">
        <is>
          <t>Airline</t>
        </is>
      </c>
      <c r="B35" t="inlineStr">
        <is>
          <t>ASL AIRLINES FRANCE</t>
        </is>
      </c>
      <c r="C35" t="n">
        <v>1</v>
      </c>
      <c r="D35" t="n">
        <v>0.002488057324840765</v>
      </c>
    </row>
    <row r="36">
      <c r="A36" t="inlineStr">
        <is>
          <t>Airline</t>
        </is>
      </c>
      <c r="B36" t="inlineStr">
        <is>
          <t>TRANSAVIA FRANCE</t>
        </is>
      </c>
      <c r="C36" t="n">
        <v>1</v>
      </c>
      <c r="D36" t="n">
        <v>0.002488057324840765</v>
      </c>
    </row>
    <row r="37">
      <c r="A37" t="inlineStr">
        <is>
          <t>Sector</t>
        </is>
      </c>
      <c r="B37" t="inlineStr">
        <is>
          <t>International</t>
        </is>
      </c>
      <c r="C37" t="n">
        <v>26981</v>
      </c>
      <c r="D37" t="n">
        <v>67.13027468152866</v>
      </c>
    </row>
    <row r="38">
      <c r="A38" t="inlineStr">
        <is>
          <t>Sector</t>
        </is>
      </c>
      <c r="B38" t="inlineStr">
        <is>
          <t>Domestic</t>
        </is>
      </c>
      <c r="C38" t="n">
        <v>4993</v>
      </c>
      <c r="D38" t="n">
        <v>12.42287022292994</v>
      </c>
    </row>
    <row r="39">
      <c r="A39" t="inlineStr">
        <is>
          <t>Sector</t>
        </is>
      </c>
      <c r="B39" t="inlineStr">
        <is>
          <t>CTA</t>
        </is>
      </c>
      <c r="C39" t="n">
        <v>689</v>
      </c>
      <c r="D39" t="n">
        <v>1.714271496815287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IV8"/>
  <sheetViews>
    <sheetView showGridLines="0" tabSelected="1" workbookViewId="0">
      <selection activeCell="G7" sqref="G7"/>
    </sheetView>
  </sheetViews>
  <sheetFormatPr baseColWidth="8" defaultRowHeight="15"/>
  <cols>
    <col width="10.140625" customWidth="1" min="1" max="1"/>
    <col width="14.140625" customWidth="1" min="2" max="2"/>
    <col width="19.7109375" customWidth="1" min="3" max="3"/>
    <col width="9.140625" customWidth="1" min="4" max="4"/>
    <col width="59.85546875" customWidth="1" min="5" max="5"/>
  </cols>
  <sheetData>
    <row r="2" ht="15.75" customHeight="1" thickBot="1">
      <c r="A2" t="inlineStr">
        <is>
          <t>Period</t>
        </is>
      </c>
      <c r="B2" t="inlineStr">
        <is>
          <t>Count</t>
        </is>
      </c>
      <c r="C2" t="inlineStr">
        <is>
          <t>Absolute Change</t>
        </is>
      </c>
      <c r="D2" t="inlineStr">
        <is>
          <t>Percent Change</t>
        </is>
      </c>
    </row>
    <row r="3" ht="24.95" customHeight="1" thickBot="1" thickTop="1">
      <c r="A3" s="14" t="n">
        <v>2026</v>
      </c>
      <c r="B3" s="24" t="n">
        <v>40192</v>
      </c>
      <c r="C3" t="n">
        <v/>
      </c>
      <c r="D3" t="n">
        <v/>
      </c>
    </row>
    <row r="4" ht="24.95" customHeight="1" thickBot="1" thickTop="1">
      <c r="A4" s="14" t="n">
        <v>2025</v>
      </c>
      <c r="B4" s="25" t="n">
        <v>38428</v>
      </c>
      <c r="C4" t="n">
        <v>1764</v>
      </c>
      <c r="D4" t="n">
        <v>4.590402831268866</v>
      </c>
    </row>
    <row r="5" ht="24.95" customHeight="1" thickBot="1" thickTop="1">
      <c r="A5" s="14" t="n">
        <v>2024</v>
      </c>
      <c r="B5" s="13" t="n">
        <v>36507</v>
      </c>
      <c r="C5" t="n">
        <v>3685</v>
      </c>
      <c r="D5" t="n">
        <v>10.09395458405237</v>
      </c>
    </row>
    <row r="6" ht="15.75" customHeight="1" thickTop="1">
      <c r="A6" t="n">
        <v>2023</v>
      </c>
      <c r="B6" s="12" t="n">
        <v>19394</v>
      </c>
      <c r="C6" t="n">
        <v>20798</v>
      </c>
      <c r="D6" t="n">
        <v>107.2393523770238</v>
      </c>
    </row>
    <row r="7"/>
    <row r="8" ht="15.75" customHeight="1">
      <c r="E8" s="26">
        <f>"FastPark Transactions " &amp; IF(D4&gt;=0, "grew by ", " decreased by ") &amp; TEXT(ABS(D4/100), "0.00%") &amp; " between " &amp; TEXT(A4, 0) &amp; " and " &amp; TEXT(A3, 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A43" sqref="AA43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2026-03-11T13:22:11Z</dcterms:created>
  <dcterms:modified xmlns:dcterms="http://purl.org/dc/terms/" xmlns:xsi="http://www.w3.org/2001/XMLSchema-instance" xsi:type="dcterms:W3CDTF">2026-04-30T08:49:52Z</dcterms:modified>
  <cp:lastModifiedBy>Jamie Douglas</cp:lastModifiedBy>
</cp:coreProperties>
</file>