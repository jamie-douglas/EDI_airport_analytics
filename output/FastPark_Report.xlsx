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600" firstSheet="1" activeTab="6" autoFilterDateGrouping="1"/>
  </bookViews>
  <sheets>
    <sheet name="Monthly Movements" sheetId="1" state="visible" r:id="rId1"/>
    <sheet name="Summary" sheetId="2" state="visible" r:id="rId2"/>
    <sheet name="Entry Exit Distribution" sheetId="3" state="visible" r:id="rId3"/>
    <sheet name="Length of Stay" sheetId="4" state="visible" r:id="rId4"/>
    <sheet name="Flight Info" sheetId="5" state="visible" r:id="rId5"/>
    <sheet name="Transaction Growth" sheetId="6" state="visible" r:id="rId6"/>
    <sheet name="Charts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,&quot;k&quot;"/>
  </numFmts>
  <fonts count="17">
    <font>
      <name val="Calibri"/>
      <family val="2"/>
      <color theme="1"/>
      <sz val="11"/>
      <scheme val="minor"/>
    </font>
    <font>
      <name val="Calibri"/>
      <family val="2"/>
      <b val="1"/>
      <color rgb="FFFC8896"/>
      <sz val="24"/>
      <scheme val="minor"/>
    </font>
    <font>
      <name val="Calibri"/>
      <family val="2"/>
      <b val="1"/>
      <color rgb="FFFFCBB1"/>
      <sz val="24"/>
      <scheme val="minor"/>
    </font>
    <font>
      <name val="Calibri"/>
      <family val="2"/>
      <color rgb="FFFFD893"/>
      <sz val="14"/>
      <scheme val="minor"/>
    </font>
    <font>
      <name val="Calibri"/>
      <family val="2"/>
      <b val="1"/>
      <color rgb="FFFFD893"/>
      <sz val="24"/>
      <scheme val="minor"/>
    </font>
    <font>
      <name val="Calibri"/>
      <family val="2"/>
      <color rgb="FFA7A3BC"/>
      <sz val="14"/>
      <scheme val="minor"/>
    </font>
    <font>
      <name val="Calibri"/>
      <family val="2"/>
      <b val="1"/>
      <color rgb="FFA7A3BC"/>
      <sz val="24"/>
      <scheme val="minor"/>
    </font>
    <font>
      <name val="Calibri"/>
      <family val="2"/>
      <color rgb="FFFEAFB5"/>
      <sz val="14"/>
      <scheme val="minor"/>
    </font>
    <font>
      <name val="Calibri"/>
      <family val="2"/>
      <b val="1"/>
      <color rgb="FFFEAFB5"/>
      <sz val="24"/>
      <scheme val="minor"/>
    </font>
    <font>
      <name val="Calibri"/>
      <family val="2"/>
      <b val="1"/>
      <color rgb="FFD2B0C8"/>
      <sz val="24"/>
      <scheme val="minor"/>
    </font>
    <font>
      <name val="Calibri"/>
      <family val="2"/>
      <b val="1"/>
      <color rgb="FFC1C1FF"/>
      <sz val="24"/>
      <scheme val="minor"/>
    </font>
    <font>
      <name val="Calibri"/>
      <family val="2"/>
      <b val="1"/>
      <color theme="6" tint="0.5999938962981048"/>
      <sz val="18"/>
      <scheme val="minor"/>
    </font>
    <font>
      <name val="Calibri"/>
      <family val="2"/>
      <b val="1"/>
      <color theme="0" tint="-0.249977111117893"/>
      <sz val="16"/>
      <scheme val="minor"/>
    </font>
    <font>
      <name val="Calibri"/>
      <family val="2"/>
      <b val="1"/>
      <i val="1"/>
      <color theme="0"/>
      <sz val="11"/>
      <scheme val="minor"/>
    </font>
    <font>
      <name val="Calibri"/>
      <family val="2"/>
      <i val="1"/>
      <color theme="0" tint="-0.0499893185216834"/>
      <sz val="10"/>
      <scheme val="minor"/>
    </font>
    <font>
      <name val="Calibri"/>
      <family val="2"/>
      <b val="1"/>
      <color theme="6" tint="0.7999816888943144"/>
      <sz val="14"/>
      <scheme val="minor"/>
    </font>
    <font>
      <name val="Calibri"/>
      <family val="2"/>
      <color theme="6" tint="0.5999938962981048"/>
      <sz val="11"/>
      <scheme val="minor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left/>
      <right/>
      <top style="thick">
        <color rgb="FFCE007F"/>
      </top>
      <bottom style="thick">
        <color rgb="FFCE007F"/>
      </bottom>
      <diagonal/>
    </border>
    <border>
      <left/>
      <right/>
      <top/>
      <bottom style="thin">
        <color theme="6" tint="0.7999816888943144"/>
      </bottom>
      <diagonal/>
    </border>
    <border>
      <left/>
      <right/>
      <top style="thin">
        <color theme="6" tint="0.7999816888943144"/>
      </top>
      <bottom style="thin">
        <color theme="6" tint="0.7999816888943144"/>
      </bottom>
      <diagonal/>
    </border>
    <border>
      <left/>
      <right/>
      <top style="thin">
        <color theme="6" tint="0.799981688894314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164" fontId="1" fillId="0" borderId="0" pivotButton="0" quotePrefix="0" xfId="0"/>
    <xf numFmtId="1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1" fontId="9" fillId="0" borderId="0" pivotButton="0" quotePrefix="0" xfId="0"/>
    <xf numFmtId="164" fontId="0" fillId="0" borderId="0" pivotButton="0" quotePrefix="0" xfId="0"/>
    <xf numFmtId="164" fontId="11" fillId="0" borderId="0" pivotButton="0" quotePrefix="0" xfId="0"/>
    <xf numFmtId="164" fontId="12" fillId="0" borderId="0" pivotButton="0" quotePrefix="0" xfId="0"/>
    <xf numFmtId="0" fontId="14" fillId="0" borderId="0" pivotButton="0" quotePrefix="0" xfId="0"/>
    <xf numFmtId="0" fontId="13" fillId="0" borderId="1" applyAlignment="1" pivotButton="0" quotePrefix="0" xfId="0">
      <alignment horizontal="center" vertical="center"/>
    </xf>
    <xf numFmtId="0" fontId="15" fillId="0" borderId="2" pivotButton="0" quotePrefix="0" xfId="0"/>
    <xf numFmtId="0" fontId="15" fillId="0" borderId="0" pivotButton="0" quotePrefix="0" xfId="0"/>
    <xf numFmtId="0" fontId="15" fillId="0" borderId="3" pivotButton="0" quotePrefix="0" xfId="0"/>
    <xf numFmtId="0" fontId="16" fillId="0" borderId="2" pivotButton="0" quotePrefix="0" xfId="0"/>
    <xf numFmtId="0" fontId="16" fillId="0" borderId="3" pivotButton="0" quotePrefix="0" xfId="0"/>
    <xf numFmtId="0" fontId="16" fillId="0" borderId="4" pivotButton="0" quotePrefix="0" xfId="0"/>
    <xf numFmtId="0" fontId="0" fillId="0" borderId="0" applyAlignment="1" pivotButton="0" quotePrefix="0" xfId="0">
      <alignment horizontal="left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7E0C6E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baseline="0">
                    <a:solidFill>
                      <a:schemeClr val="bg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'Length of Stay'!$A$10:$A$18</f>
              <strCache>
                <ptCount val="9"/>
                <pt idx="0">
                  <v>1</v>
                </pt>
                <pt idx="1">
                  <v>2</v>
                </pt>
                <pt idx="2">
                  <v>3-6</v>
                </pt>
                <pt idx="3">
                  <v>7-9</v>
                </pt>
                <pt idx="4">
                  <v>10-13</v>
                </pt>
                <pt idx="5">
                  <v>14-20</v>
                </pt>
                <pt idx="6">
                  <v>21-29</v>
                </pt>
                <pt idx="7">
                  <v>30-59</v>
                </pt>
                <pt idx="8">
                  <v>60-89</v>
                </pt>
              </strCache>
            </strRef>
          </cat>
          <val>
            <numRef>
              <f>'Length of Stay'!$B$10:$B$18</f>
              <numCache>
                <formatCode>General</formatCode>
                <ptCount val="9"/>
                <pt idx="0">
                  <v>2011</v>
                </pt>
                <pt idx="1">
                  <v>5073</v>
                </pt>
                <pt idx="2">
                  <v>51369</v>
                </pt>
                <pt idx="3">
                  <v>67697</v>
                </pt>
                <pt idx="4">
                  <v>20818</v>
                </pt>
                <pt idx="5">
                  <v>13685</v>
                </pt>
                <pt idx="6">
                  <v>2116</v>
                </pt>
                <pt idx="7">
                  <v>445</v>
                </pt>
                <pt idx="8">
                  <v>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4"/>
        <axId val="761034800"/>
        <axId val="761031440"/>
      </barChart>
      <catAx>
        <axId val="76103480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baseline="0">
                <a:solidFill>
                  <a:srgbClr val="22A3B5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1031440"/>
        <crosses val="autoZero"/>
        <auto val="1"/>
        <lblAlgn val="ctr"/>
        <lblOffset val="100"/>
        <noMultiLvlLbl val="0"/>
      </catAx>
      <valAx>
        <axId val="761031440"/>
        <scaling>
          <orientation val="minMax"/>
        </scaling>
        <delete val="1"/>
        <axPos val="l"/>
        <numFmt formatCode="General" sourceLinked="1"/>
        <majorTickMark val="none"/>
        <minorTickMark val="none"/>
        <tickLblPos val="nextTo"/>
        <crossAx val="761034800"/>
        <crosses val="autoZero"/>
        <crossBetween val="between"/>
      </valAx>
    </plotArea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ln>
              <a:noFill/>
              <a:prstDash val="solid"/>
            </a:ln>
          </spPr>
          <dPt>
            <idx val="0"/>
            <bubble3D val="0"/>
            <spPr>
              <a:solidFill>
                <a:srgbClr val="22A3B5"/>
              </a:solidFill>
              <a:ln w="1905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E007F"/>
              </a:solidFill>
              <a:ln w="1905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7E0C6E"/>
              </a:solidFill>
              <a:ln w="19050"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bg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1"/>
            <showBubbleSize val="0"/>
            <showLeaderLines val="0"/>
          </dLbls>
          <cat>
            <strRef>
              <f>'Flight Info'!$B$44:$B$46</f>
              <strCache>
                <ptCount val="3"/>
                <pt idx="0">
                  <v>International</v>
                </pt>
                <pt idx="1">
                  <v>Domestic</v>
                </pt>
                <pt idx="2">
                  <v>CTA</v>
                </pt>
              </strCache>
            </strRef>
          </cat>
          <val>
            <numRef>
              <f>'Flight Info'!$C$44:$C$46</f>
              <numCache>
                <formatCode>General</formatCode>
                <ptCount val="3"/>
                <pt idx="0">
                  <v>118063</v>
                </pt>
                <pt idx="1">
                  <v>14502</v>
                </pt>
                <pt idx="2">
                  <v>2679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bg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'Entry Exit Distribution'!$D$2</f>
              <strCache>
                <ptCount val="1"/>
                <pt idx="0">
                  <v>Entry Count</v>
                </pt>
              </strCache>
            </strRef>
          </tx>
          <spPr>
            <a:solidFill>
              <a:srgbClr val="CE007F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'Entry Exit Distribution'!$N$3:$N$13</f>
              <strCache>
                <ptCount val="10"/>
                <pt idx="0">
                  <v>-180</v>
                </pt>
                <pt idx="1">
                  <v>-120 to -180</v>
                </pt>
                <pt idx="2">
                  <v>-60 to -120</v>
                </pt>
                <pt idx="3">
                  <v>-30 to -60</v>
                </pt>
                <pt idx="4">
                  <v>0 to -30</v>
                </pt>
                <pt idx="5">
                  <v>0 to 30</v>
                </pt>
                <pt idx="6">
                  <v>30 to 60</v>
                </pt>
                <pt idx="7">
                  <v>60 to 120</v>
                </pt>
                <pt idx="8">
                  <v>120 to 180</v>
                </pt>
                <pt idx="9">
                  <v>180+</v>
                </pt>
              </strCache>
            </strRef>
          </cat>
          <val>
            <numRef>
              <f>'Entry Exit Distribution'!$D$3:$D$12</f>
              <numCache>
                <formatCode>General</formatCode>
                <ptCount val="10"/>
                <pt idx="0">
                  <v>2364</v>
                </pt>
                <pt idx="1">
                  <v>1476</v>
                </pt>
                <pt idx="2">
                  <v>8152</v>
                </pt>
                <pt idx="3">
                  <v>19928</v>
                </pt>
                <pt idx="4">
                  <v>72540</v>
                </pt>
                <pt idx="5">
                  <v>120736</v>
                </pt>
                <pt idx="6">
                  <v>65328</v>
                </pt>
                <pt idx="7">
                  <v>32367</v>
                </pt>
                <pt idx="8">
                  <v>4549</v>
                </pt>
                <pt idx="9">
                  <v>4346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066675392"/>
        <axId val="1066672512"/>
      </barChart>
      <catAx>
        <axId val="10666753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270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accent5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66672512"/>
        <crosses val="autoZero"/>
        <auto val="1"/>
        <lblAlgn val="ctr"/>
        <lblOffset val="100"/>
        <noMultiLvlLbl val="0"/>
      </catAx>
      <valAx>
        <axId val="1066672512"/>
        <scaling>
          <orientation val="minMax"/>
        </scaling>
        <delete val="1"/>
        <axPos val="l"/>
        <numFmt formatCode="General" sourceLinked="1"/>
        <majorTickMark val="none"/>
        <minorTickMark val="none"/>
        <tickLblPos val="nextTo"/>
        <crossAx val="1066675392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114300</colOff>
      <row>3</row>
      <rowOff>76200</rowOff>
    </from>
    <to>
      <col>14</col>
      <colOff>419100</colOff>
      <row>18</row>
      <rowOff>57150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171450</colOff>
      <row>3</row>
      <rowOff>85725</rowOff>
    </from>
    <to>
      <col>6</col>
      <colOff>266700</colOff>
      <row>16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15</col>
      <colOff>552449</colOff>
      <row>10</row>
      <rowOff>157162</rowOff>
    </from>
    <to>
      <col>24</col>
      <colOff>114300</colOff>
      <row>25</row>
      <rowOff>42862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C14"/>
  <sheetViews>
    <sheetView workbookViewId="0">
      <selection activeCell="A1" sqref="A1"/>
    </sheetView>
  </sheetViews>
  <sheetFormatPr baseColWidth="8" defaultRowHeight="15"/>
  <sheetData>
    <row r="2">
      <c r="A2" t="inlineStr">
        <is>
          <t>Month</t>
        </is>
      </c>
      <c r="B2" t="inlineStr">
        <is>
          <t>Entries</t>
        </is>
      </c>
      <c r="C2" t="inlineStr">
        <is>
          <t>Exits</t>
        </is>
      </c>
    </row>
    <row r="3">
      <c r="A3" t="inlineStr">
        <is>
          <t>2025-01</t>
        </is>
      </c>
      <c r="B3" t="n">
        <v>8597</v>
      </c>
      <c r="C3" t="n">
        <v>10059</v>
      </c>
    </row>
    <row r="4">
      <c r="A4" t="inlineStr">
        <is>
          <t>2025-02</t>
        </is>
      </c>
      <c r="B4" t="n">
        <v>12154</v>
      </c>
      <c r="C4" t="n">
        <v>11426</v>
      </c>
    </row>
    <row r="5">
      <c r="A5" t="inlineStr">
        <is>
          <t>2025-03</t>
        </is>
      </c>
      <c r="B5" t="n">
        <v>14004</v>
      </c>
      <c r="C5" t="n">
        <v>13420</v>
      </c>
    </row>
    <row r="6">
      <c r="A6" t="inlineStr">
        <is>
          <t>2025-04</t>
        </is>
      </c>
      <c r="B6" t="n">
        <v>13726</v>
      </c>
      <c r="C6" t="n">
        <v>13919</v>
      </c>
    </row>
    <row r="7">
      <c r="A7" t="inlineStr">
        <is>
          <t>2025-05</t>
        </is>
      </c>
      <c r="B7" t="n">
        <v>16720</v>
      </c>
      <c r="C7" t="n">
        <v>15615</v>
      </c>
    </row>
    <row r="8">
      <c r="A8" t="inlineStr">
        <is>
          <t>2025-06</t>
        </is>
      </c>
      <c r="B8" t="n">
        <v>15406</v>
      </c>
      <c r="C8" t="n">
        <v>15082</v>
      </c>
    </row>
    <row r="9">
      <c r="A9" t="inlineStr">
        <is>
          <t>2025-07</t>
        </is>
      </c>
      <c r="B9" t="n">
        <v>14872</v>
      </c>
      <c r="C9" t="n">
        <v>14933</v>
      </c>
    </row>
    <row r="10">
      <c r="A10" t="inlineStr">
        <is>
          <t>2025-08</t>
        </is>
      </c>
      <c r="B10" t="n">
        <v>14687</v>
      </c>
      <c r="C10" t="n">
        <v>15156</v>
      </c>
    </row>
    <row r="11">
      <c r="A11" t="inlineStr">
        <is>
          <t>2025-09</t>
        </is>
      </c>
      <c r="B11" t="n">
        <v>16275</v>
      </c>
      <c r="C11" t="n">
        <v>16049</v>
      </c>
    </row>
    <row r="12">
      <c r="A12" t="inlineStr">
        <is>
          <t>2025-10</t>
        </is>
      </c>
      <c r="B12" t="n">
        <v>15956</v>
      </c>
      <c r="C12" t="n">
        <v>16974</v>
      </c>
    </row>
    <row r="13">
      <c r="A13" t="inlineStr">
        <is>
          <t>2025-11</t>
        </is>
      </c>
      <c r="B13" t="n">
        <v>11370</v>
      </c>
      <c r="C13" t="n">
        <v>11814</v>
      </c>
    </row>
    <row r="14">
      <c r="A14" t="inlineStr">
        <is>
          <t>2025-12</t>
        </is>
      </c>
      <c r="B14" t="n">
        <v>11347</v>
      </c>
      <c r="C14" t="n">
        <v>9787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E25"/>
  <sheetViews>
    <sheetView showGridLines="0" workbookViewId="0">
      <selection activeCell="B3" sqref="B3"/>
    </sheetView>
  </sheetViews>
  <sheetFormatPr baseColWidth="8" defaultRowHeight="15" outlineLevelCol="0"/>
  <cols>
    <col width="39.140625" customWidth="1" min="1" max="1"/>
    <col width="22.7109375" customWidth="1" min="2" max="2"/>
    <col width="26.85546875" customWidth="1" min="3" max="3"/>
    <col width="24.85546875" customWidth="1" min="4" max="4"/>
    <col width="13.140625" customWidth="1" min="5" max="5"/>
  </cols>
  <sheetData>
    <row r="2">
      <c r="A2" t="inlineStr">
        <is>
          <t>Metric</t>
        </is>
      </c>
      <c r="B2" t="inlineStr">
        <is>
          <t>Value</t>
        </is>
      </c>
      <c r="C2" t="inlineStr">
        <is>
          <t>Peak Type</t>
        </is>
      </c>
      <c r="D2" t="inlineStr">
        <is>
          <t>Date</t>
        </is>
      </c>
      <c r="E2" t="inlineStr">
        <is>
          <t>Total</t>
        </is>
      </c>
    </row>
    <row r="3" ht="31.5" customHeight="1">
      <c r="A3" t="inlineStr">
        <is>
          <t>Total Transactions (Distinct Bookings)</t>
        </is>
      </c>
      <c r="B3" s="1" t="n">
        <v>168789</v>
      </c>
    </row>
    <row r="4">
      <c r="A4" t="inlineStr">
        <is>
          <t>Total Entries</t>
        </is>
      </c>
      <c r="B4" t="n">
        <v>165114</v>
      </c>
    </row>
    <row r="5">
      <c r="A5" t="inlineStr">
        <is>
          <t>Total Exits</t>
        </is>
      </c>
      <c r="B5" t="n">
        <v>164234</v>
      </c>
    </row>
    <row r="6">
      <c r="A6" t="inlineStr">
        <is>
          <t>Entries Validation Passed</t>
        </is>
      </c>
      <c r="B6" t="n">
        <v>1</v>
      </c>
    </row>
    <row r="7">
      <c r="A7" t="inlineStr">
        <is>
          <t>Exits Validation Passed</t>
        </is>
      </c>
      <c r="B7" t="n">
        <v>1</v>
      </c>
    </row>
    <row r="8" ht="31.5" customHeight="1">
      <c r="A8" t="inlineStr">
        <is>
          <t>Average Kiosk Transaction Time (secs)</t>
        </is>
      </c>
      <c r="B8" s="2" t="n">
        <v>28.58684127247246</v>
      </c>
    </row>
    <row r="9">
      <c r="A9" t="inlineStr">
        <is>
          <t>Invalid Duration Count</t>
        </is>
      </c>
      <c r="B9" t="n">
        <v>4</v>
      </c>
    </row>
    <row r="10">
      <c r="A10" t="inlineStr">
        <is>
          <t>Total Transactions</t>
        </is>
      </c>
      <c r="B10" t="n">
        <v>331799</v>
      </c>
    </row>
    <row r="11" ht="31.5" customHeight="1">
      <c r="C11" t="inlineStr">
        <is>
          <t>Peak Entries Day</t>
        </is>
      </c>
      <c r="D11" s="3" t="inlineStr">
        <is>
          <t>24 May 2025</t>
        </is>
      </c>
      <c r="E11" s="4" t="n">
        <v>853</v>
      </c>
    </row>
    <row r="12" ht="31.5" customHeight="1">
      <c r="C12" t="inlineStr">
        <is>
          <t>Peak Exits Day</t>
        </is>
      </c>
      <c r="D12" s="5" t="inlineStr">
        <is>
          <t>19 Oct 2025</t>
        </is>
      </c>
      <c r="E12" s="6" t="n">
        <v>786</v>
      </c>
    </row>
    <row r="13" ht="31.5" customHeight="1">
      <c r="C13" t="inlineStr">
        <is>
          <t>Peak Movements Day</t>
        </is>
      </c>
      <c r="D13" s="7" t="inlineStr">
        <is>
          <t>24 May 2025</t>
        </is>
      </c>
      <c r="E13" s="8" t="n">
        <v>1351</v>
      </c>
    </row>
    <row r="14" ht="31.5" customHeight="1">
      <c r="A14" t="inlineStr">
        <is>
          <t>Average Entry Difference (HH:MM)</t>
        </is>
      </c>
      <c r="B14" s="9" t="inlineStr">
        <is>
          <t>00:54</t>
        </is>
      </c>
    </row>
    <row r="15" ht="31.5" customHeight="1">
      <c r="A15" t="inlineStr">
        <is>
          <t>Median Entry Difference (HH:MM)</t>
        </is>
      </c>
      <c r="B15" s="9" t="inlineStr">
        <is>
          <t>00:14</t>
        </is>
      </c>
    </row>
    <row r="16" ht="31.5" customHeight="1">
      <c r="A16" t="inlineStr">
        <is>
          <t>Average Exit Difference (HH:MM)</t>
        </is>
      </c>
      <c r="B16" s="10" t="inlineStr">
        <is>
          <t>02:14</t>
        </is>
      </c>
    </row>
    <row r="17" ht="31.5" customHeight="1">
      <c r="A17" t="inlineStr">
        <is>
          <t>Median Exit Difference (HH:MM)</t>
        </is>
      </c>
      <c r="B17" s="10" t="inlineStr">
        <is>
          <t>00:45</t>
        </is>
      </c>
    </row>
    <row r="18">
      <c r="A18" t="inlineStr">
        <is>
          <t>Entry Min (mins)</t>
        </is>
      </c>
      <c r="B18" t="n">
        <v>-59941.68333333333</v>
      </c>
    </row>
    <row r="19">
      <c r="A19" t="inlineStr">
        <is>
          <t>Entry 25th Percentile (mins)</t>
        </is>
      </c>
      <c r="B19" t="n">
        <v>-5.883333333333334</v>
      </c>
    </row>
    <row r="20">
      <c r="A20" t="inlineStr">
        <is>
          <t>Entry 75th Percentile (mins)</t>
        </is>
      </c>
      <c r="B20" t="n">
        <v>38.11666666666667</v>
      </c>
    </row>
    <row r="21">
      <c r="A21" t="inlineStr">
        <is>
          <t>Entry Max (mins)</t>
        </is>
      </c>
      <c r="B21" t="n">
        <v>1668052.166666667</v>
      </c>
    </row>
    <row r="22">
      <c r="A22" t="inlineStr">
        <is>
          <t>Exit Min (mins)</t>
        </is>
      </c>
      <c r="B22" t="n">
        <v>-525480</v>
      </c>
    </row>
    <row r="23">
      <c r="A23" t="inlineStr">
        <is>
          <t>Exit 25th Percentile (mins)</t>
        </is>
      </c>
      <c r="B23" t="n">
        <v>27</v>
      </c>
    </row>
    <row r="24">
      <c r="A24" t="inlineStr">
        <is>
          <t>Exit 75th Percentile (mins)</t>
        </is>
      </c>
      <c r="B24" t="n">
        <v>70</v>
      </c>
    </row>
    <row r="25">
      <c r="A25" t="inlineStr">
        <is>
          <t>Exit Max (mins)</t>
        </is>
      </c>
      <c r="B25" t="n">
        <v>2067995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N12"/>
  <sheetViews>
    <sheetView workbookViewId="0">
      <selection activeCell="N3" sqref="N3"/>
    </sheetView>
  </sheetViews>
  <sheetFormatPr baseColWidth="8" defaultRowHeight="15" outlineLevelCol="0"/>
  <cols>
    <col width="11.28515625" customWidth="1" min="14" max="14"/>
  </cols>
  <sheetData>
    <row r="2">
      <c r="A2" t="inlineStr">
        <is>
          <t>Bin Start</t>
        </is>
      </c>
      <c r="B2" t="inlineStr">
        <is>
          <t>Bin End</t>
        </is>
      </c>
      <c r="C2" t="inlineStr">
        <is>
          <t>Bin Midpoint</t>
        </is>
      </c>
      <c r="D2" t="inlineStr">
        <is>
          <t>Entry Count</t>
        </is>
      </c>
      <c r="E2" t="inlineStr">
        <is>
          <t>Exit Count</t>
        </is>
      </c>
      <c r="F2" t="inlineStr">
        <is>
          <t>Zero Line</t>
        </is>
      </c>
      <c r="G2" t="inlineStr">
        <is>
          <t>Avg Entry Line</t>
        </is>
      </c>
      <c r="H2" t="inlineStr">
        <is>
          <t>Median Entry Line</t>
        </is>
      </c>
      <c r="I2" t="inlineStr">
        <is>
          <t>Avg Exit Line</t>
        </is>
      </c>
      <c r="J2" t="inlineStr">
        <is>
          <t>Median Exit Line</t>
        </is>
      </c>
      <c r="N2" t="inlineStr">
        <is>
          <t>Minutes</t>
        </is>
      </c>
    </row>
    <row r="3">
      <c r="A3" t="n">
        <v>-99999</v>
      </c>
      <c r="B3" t="n">
        <v>-180</v>
      </c>
      <c r="C3" t="n">
        <v>-50089.5</v>
      </c>
      <c r="D3" t="n">
        <v>2364</v>
      </c>
      <c r="E3" t="n">
        <v>1788</v>
      </c>
      <c r="F3" t="n">
        <v>0</v>
      </c>
      <c r="G3" t="n">
        <v>54.36920824605556</v>
      </c>
      <c r="H3" t="n">
        <v>14.31666666666667</v>
      </c>
      <c r="I3" t="n">
        <v>134.7954066269533</v>
      </c>
      <c r="J3" t="n">
        <v>45</v>
      </c>
      <c r="N3" s="23">
        <f>B3</f>
        <v/>
      </c>
    </row>
    <row r="4">
      <c r="A4" t="n">
        <v>-180</v>
      </c>
      <c r="B4" t="n">
        <v>-120</v>
      </c>
      <c r="C4" t="n">
        <v>-150</v>
      </c>
      <c r="D4" t="n">
        <v>1476</v>
      </c>
      <c r="E4" t="n">
        <v>295</v>
      </c>
      <c r="F4" t="n">
        <v>0</v>
      </c>
      <c r="G4" t="n">
        <v>54.36920824605556</v>
      </c>
      <c r="H4" t="n">
        <v>14.31666666666667</v>
      </c>
      <c r="I4" t="n">
        <v>134.7954066269533</v>
      </c>
      <c r="J4" t="n">
        <v>45</v>
      </c>
      <c r="N4" s="23">
        <f>B4 &amp; " to " &amp; A4</f>
        <v/>
      </c>
    </row>
    <row r="5">
      <c r="A5" t="n">
        <v>-120</v>
      </c>
      <c r="B5" t="n">
        <v>-60</v>
      </c>
      <c r="C5" t="n">
        <v>-90</v>
      </c>
      <c r="D5" t="n">
        <v>8152</v>
      </c>
      <c r="E5" t="n">
        <v>455</v>
      </c>
      <c r="F5" t="n">
        <v>0</v>
      </c>
      <c r="G5" t="n">
        <v>54.36920824605556</v>
      </c>
      <c r="H5" t="n">
        <v>14.31666666666667</v>
      </c>
      <c r="I5" t="n">
        <v>134.7954066269533</v>
      </c>
      <c r="J5" t="n">
        <v>45</v>
      </c>
      <c r="N5" s="23">
        <f>B5 &amp; " to " &amp; A5</f>
        <v/>
      </c>
    </row>
    <row r="6">
      <c r="A6" t="n">
        <v>-60</v>
      </c>
      <c r="B6" t="n">
        <v>-30</v>
      </c>
      <c r="C6" t="n">
        <v>-45</v>
      </c>
      <c r="D6" t="n">
        <v>19928</v>
      </c>
      <c r="E6" t="n">
        <v>357</v>
      </c>
      <c r="F6" t="n">
        <v>0</v>
      </c>
      <c r="G6" t="n">
        <v>54.36920824605556</v>
      </c>
      <c r="H6" t="n">
        <v>14.31666666666667</v>
      </c>
      <c r="I6" t="n">
        <v>134.7954066269533</v>
      </c>
      <c r="J6" t="n">
        <v>45</v>
      </c>
      <c r="N6" s="23">
        <f>B6 &amp; " to " &amp; A6</f>
        <v/>
      </c>
    </row>
    <row r="7">
      <c r="A7" t="n">
        <v>-30</v>
      </c>
      <c r="B7" t="n">
        <v>0</v>
      </c>
      <c r="C7" t="n">
        <v>-15</v>
      </c>
      <c r="D7" t="n">
        <v>72540</v>
      </c>
      <c r="E7" t="n">
        <v>3051</v>
      </c>
      <c r="F7" t="n">
        <v>0</v>
      </c>
      <c r="G7" t="n">
        <v>54.36920824605556</v>
      </c>
      <c r="H7" t="n">
        <v>14.31666666666667</v>
      </c>
      <c r="I7" t="n">
        <v>134.7954066269533</v>
      </c>
      <c r="J7" t="n">
        <v>45</v>
      </c>
      <c r="N7" s="23">
        <f>B7 &amp; " to " &amp; A7</f>
        <v/>
      </c>
    </row>
    <row r="8">
      <c r="A8" t="n">
        <v>0</v>
      </c>
      <c r="B8" t="n">
        <v>30</v>
      </c>
      <c r="C8" t="n">
        <v>15</v>
      </c>
      <c r="D8" t="n">
        <v>120736</v>
      </c>
      <c r="E8" t="n">
        <v>42382</v>
      </c>
      <c r="F8" t="n">
        <v>0</v>
      </c>
      <c r="G8" t="n">
        <v>54.36920824605556</v>
      </c>
      <c r="H8" t="n">
        <v>14.31666666666667</v>
      </c>
      <c r="I8" t="n">
        <v>134.7954066269533</v>
      </c>
      <c r="J8" t="n">
        <v>45</v>
      </c>
      <c r="N8" s="23">
        <f>A8 &amp; " to " &amp; B8</f>
        <v/>
      </c>
    </row>
    <row r="9">
      <c r="A9" t="n">
        <v>30</v>
      </c>
      <c r="B9" t="n">
        <v>60</v>
      </c>
      <c r="C9" t="n">
        <v>45</v>
      </c>
      <c r="D9" t="n">
        <v>65328</v>
      </c>
      <c r="E9" t="n">
        <v>63722</v>
      </c>
      <c r="F9" t="n">
        <v>0</v>
      </c>
      <c r="G9" t="n">
        <v>54.36920824605556</v>
      </c>
      <c r="H9" t="n">
        <v>14.31666666666667</v>
      </c>
      <c r="I9" t="n">
        <v>134.7954066269533</v>
      </c>
      <c r="J9" t="n">
        <v>45</v>
      </c>
      <c r="N9" s="23">
        <f>A9 &amp; " to " &amp; B9</f>
        <v/>
      </c>
    </row>
    <row r="10">
      <c r="A10" t="n">
        <v>60</v>
      </c>
      <c r="B10" t="n">
        <v>120</v>
      </c>
      <c r="C10" t="n">
        <v>90</v>
      </c>
      <c r="D10" t="n">
        <v>32367</v>
      </c>
      <c r="E10" t="n">
        <v>41209</v>
      </c>
      <c r="F10" t="n">
        <v>0</v>
      </c>
      <c r="G10" t="n">
        <v>54.36920824605556</v>
      </c>
      <c r="H10" t="n">
        <v>14.31666666666667</v>
      </c>
      <c r="I10" t="n">
        <v>134.7954066269533</v>
      </c>
      <c r="J10" t="n">
        <v>45</v>
      </c>
      <c r="N10" s="23">
        <f>A10 &amp; " to " &amp; B10</f>
        <v/>
      </c>
    </row>
    <row r="11">
      <c r="A11" t="n">
        <v>120</v>
      </c>
      <c r="B11" t="n">
        <v>180</v>
      </c>
      <c r="C11" t="n">
        <v>150</v>
      </c>
      <c r="D11" t="n">
        <v>4549</v>
      </c>
      <c r="E11" t="n">
        <v>7105</v>
      </c>
      <c r="F11" t="n">
        <v>0</v>
      </c>
      <c r="G11" t="n">
        <v>54.36920824605556</v>
      </c>
      <c r="H11" t="n">
        <v>14.31666666666667</v>
      </c>
      <c r="I11" t="n">
        <v>134.7954066269533</v>
      </c>
      <c r="J11" t="n">
        <v>45</v>
      </c>
      <c r="N11" s="23">
        <f>A11 &amp; " to " &amp; B11</f>
        <v/>
      </c>
    </row>
    <row r="12">
      <c r="A12" t="n">
        <v>180</v>
      </c>
      <c r="B12" t="n">
        <v>99999</v>
      </c>
      <c r="C12" t="n">
        <v>50089.5</v>
      </c>
      <c r="D12" t="n">
        <v>4346</v>
      </c>
      <c r="E12" t="n">
        <v>7984</v>
      </c>
      <c r="F12" t="n">
        <v>0</v>
      </c>
      <c r="G12" t="n">
        <v>54.36920824605556</v>
      </c>
      <c r="H12" t="n">
        <v>14.31666666666667</v>
      </c>
      <c r="I12" t="n">
        <v>134.7954066269533</v>
      </c>
      <c r="J12" t="n">
        <v>45</v>
      </c>
      <c r="N12" s="23">
        <f>A12 &amp; "+"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C18"/>
  <sheetViews>
    <sheetView showGridLines="0" workbookViewId="0">
      <selection activeCell="H9" sqref="H9"/>
    </sheetView>
  </sheetViews>
  <sheetFormatPr baseColWidth="8" defaultRowHeight="15" outlineLevelCol="0"/>
  <cols>
    <col width="17.7109375" customWidth="1" min="1" max="1"/>
    <col width="14.140625" customWidth="1" min="2" max="2"/>
    <col width="13.7109375" customWidth="1" min="3" max="3"/>
  </cols>
  <sheetData>
    <row r="2">
      <c r="A2" t="inlineStr">
        <is>
          <t>BookingReference</t>
        </is>
      </c>
      <c r="B2" t="inlineStr">
        <is>
          <t>Length of Stay Days</t>
        </is>
      </c>
      <c r="C2" t="inlineStr">
        <is>
          <t>Kind</t>
        </is>
      </c>
    </row>
    <row r="3">
      <c r="A3" t="inlineStr">
        <is>
          <t>AXDGAJP5A</t>
        </is>
      </c>
      <c r="B3" t="n">
        <v>85.8884837962963</v>
      </c>
      <c r="C3" t="inlineStr">
        <is>
          <t>Top 3</t>
        </is>
      </c>
    </row>
    <row r="4">
      <c r="A4" t="inlineStr">
        <is>
          <t>7L55C4KZ2</t>
        </is>
      </c>
      <c r="B4" t="n">
        <v>78.53675925925926</v>
      </c>
      <c r="C4" t="inlineStr">
        <is>
          <t>Top 3</t>
        </is>
      </c>
    </row>
    <row r="5">
      <c r="A5" t="inlineStr">
        <is>
          <t>7JSM1BMF6</t>
        </is>
      </c>
      <c r="B5" t="n">
        <v>78.07504629629629</v>
      </c>
      <c r="C5" t="inlineStr">
        <is>
          <t>Top 3</t>
        </is>
      </c>
    </row>
    <row r="6">
      <c r="A6" t="inlineStr">
        <is>
          <t>ZKPSPF9</t>
        </is>
      </c>
      <c r="B6" t="n">
        <v>0.0001041666666666667</v>
      </c>
      <c r="C6" t="inlineStr">
        <is>
          <t>Bottom 3</t>
        </is>
      </c>
    </row>
    <row r="7">
      <c r="A7" t="inlineStr">
        <is>
          <t>QXLSGMD</t>
        </is>
      </c>
      <c r="B7" t="n">
        <v>0.0003703703703703704</v>
      </c>
      <c r="C7" t="inlineStr">
        <is>
          <t>Bottom 3</t>
        </is>
      </c>
    </row>
    <row r="8">
      <c r="A8" t="inlineStr">
        <is>
          <t>8ZM6VHT</t>
        </is>
      </c>
      <c r="B8" t="n">
        <v>0.0006597222222222222</v>
      </c>
      <c r="C8" t="inlineStr">
        <is>
          <t>Bottom 3</t>
        </is>
      </c>
    </row>
    <row r="9" ht="31.5" customHeight="1">
      <c r="A9" t="inlineStr">
        <is>
          <t>Average LOS</t>
        </is>
      </c>
      <c r="B9" s="11" t="n">
        <v>7.921487853505165</v>
      </c>
      <c r="C9" t="inlineStr">
        <is>
          <t>Average</t>
        </is>
      </c>
    </row>
    <row r="10">
      <c r="A10" t="inlineStr">
        <is>
          <t>1</t>
        </is>
      </c>
      <c r="B10" t="n">
        <v>2011</v>
      </c>
      <c r="C10" t="inlineStr">
        <is>
          <t>Bins</t>
        </is>
      </c>
    </row>
    <row r="11">
      <c r="A11" t="inlineStr">
        <is>
          <t>2</t>
        </is>
      </c>
      <c r="B11" t="n">
        <v>5073</v>
      </c>
      <c r="C11" t="inlineStr">
        <is>
          <t>Bins</t>
        </is>
      </c>
    </row>
    <row r="12">
      <c r="A12" t="inlineStr">
        <is>
          <t>3-6</t>
        </is>
      </c>
      <c r="B12" t="n">
        <v>51369</v>
      </c>
      <c r="C12" t="inlineStr">
        <is>
          <t>Bins</t>
        </is>
      </c>
    </row>
    <row r="13">
      <c r="A13" t="inlineStr">
        <is>
          <t>7-9</t>
        </is>
      </c>
      <c r="B13" t="n">
        <v>67697</v>
      </c>
      <c r="C13" t="inlineStr">
        <is>
          <t>Bins</t>
        </is>
      </c>
    </row>
    <row r="14">
      <c r="A14" t="inlineStr">
        <is>
          <t>10-13</t>
        </is>
      </c>
      <c r="B14" t="n">
        <v>20818</v>
      </c>
      <c r="C14" t="inlineStr">
        <is>
          <t>Bins</t>
        </is>
      </c>
    </row>
    <row r="15">
      <c r="A15" t="inlineStr">
        <is>
          <t>14-20</t>
        </is>
      </c>
      <c r="B15" t="n">
        <v>13685</v>
      </c>
      <c r="C15" t="inlineStr">
        <is>
          <t>Bins</t>
        </is>
      </c>
    </row>
    <row r="16">
      <c r="A16" t="inlineStr">
        <is>
          <t>21-29</t>
        </is>
      </c>
      <c r="B16" t="n">
        <v>2116</v>
      </c>
      <c r="C16" t="inlineStr">
        <is>
          <t>Bins</t>
        </is>
      </c>
    </row>
    <row r="17">
      <c r="A17" t="inlineStr">
        <is>
          <t>30-59</t>
        </is>
      </c>
      <c r="B17" t="n">
        <v>445</v>
      </c>
      <c r="C17" t="inlineStr">
        <is>
          <t>Bins</t>
        </is>
      </c>
    </row>
    <row r="18">
      <c r="A18" t="inlineStr">
        <is>
          <t>60-89</t>
        </is>
      </c>
      <c r="B18" t="n">
        <v>8</v>
      </c>
      <c r="C18" t="inlineStr">
        <is>
          <t>Bins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E46"/>
  <sheetViews>
    <sheetView showGridLines="0" workbookViewId="0">
      <selection activeCell="C44" sqref="C44"/>
    </sheetView>
  </sheetViews>
  <sheetFormatPr baseColWidth="8" defaultRowHeight="15" outlineLevelCol="0"/>
  <cols>
    <col width="18" customWidth="1" min="2" max="3"/>
    <col width="51" customWidth="1" min="6" max="6"/>
  </cols>
  <sheetData>
    <row r="2">
      <c r="A2" t="inlineStr">
        <is>
          <t>Category</t>
        </is>
      </c>
      <c r="B2" t="inlineStr">
        <is>
          <t>Name</t>
        </is>
      </c>
      <c r="C2" t="inlineStr">
        <is>
          <t>Count</t>
        </is>
      </c>
      <c r="D2" t="inlineStr">
        <is>
          <t>Percent</t>
        </is>
      </c>
    </row>
    <row r="3" ht="18.75" customHeight="1">
      <c r="A3" t="inlineStr">
        <is>
          <t>Airline</t>
        </is>
      </c>
      <c r="B3" s="17" t="inlineStr">
        <is>
          <t>JET2</t>
        </is>
      </c>
      <c r="C3" t="n">
        <v>39639</v>
      </c>
      <c r="D3" t="n">
        <v>23.48435028349004</v>
      </c>
      <c r="E3" s="20">
        <f>TEXT(D3, 0) &amp; "%"</f>
        <v/>
      </c>
    </row>
    <row r="4" ht="18.75" customHeight="1">
      <c r="A4" t="inlineStr">
        <is>
          <t>Airline</t>
        </is>
      </c>
      <c r="B4" s="19" t="inlineStr">
        <is>
          <t>RYANAIR</t>
        </is>
      </c>
      <c r="C4" t="n">
        <v>37080</v>
      </c>
      <c r="D4" t="n">
        <v>21.96825622522795</v>
      </c>
      <c r="E4" s="21">
        <f>TEXT(D4, 0) &amp; "%"</f>
        <v/>
      </c>
    </row>
    <row r="5" ht="18.75" customHeight="1">
      <c r="A5" t="inlineStr">
        <is>
          <t>Airline</t>
        </is>
      </c>
      <c r="B5" s="18" t="inlineStr">
        <is>
          <t>EASYJET</t>
        </is>
      </c>
      <c r="C5" t="n">
        <v>13986</v>
      </c>
      <c r="D5" t="n">
        <v>8.286084993690347</v>
      </c>
      <c r="E5" s="22">
        <f>TEXT(D5, 0) &amp; "%"</f>
        <v/>
      </c>
    </row>
    <row r="6">
      <c r="A6" t="inlineStr">
        <is>
          <t>Airline</t>
        </is>
      </c>
      <c r="B6" t="inlineStr">
        <is>
          <t>BRITISH AIRWAYS</t>
        </is>
      </c>
      <c r="C6" t="n">
        <v>10652</v>
      </c>
      <c r="D6" t="n">
        <v>6.310837791562246</v>
      </c>
    </row>
    <row r="7">
      <c r="A7" t="inlineStr">
        <is>
          <t>Airline</t>
        </is>
      </c>
      <c r="B7" t="inlineStr">
        <is>
          <t>RYANAIR UK</t>
        </is>
      </c>
      <c r="C7" t="n">
        <v>4686</v>
      </c>
      <c r="D7" t="n">
        <v>2.776247267298224</v>
      </c>
    </row>
    <row r="8">
      <c r="A8" t="inlineStr">
        <is>
          <t>Airline</t>
        </is>
      </c>
      <c r="B8" t="inlineStr">
        <is>
          <t>QATAR AIRWAYS</t>
        </is>
      </c>
      <c r="C8" t="n">
        <v>3489</v>
      </c>
      <c r="D8" t="n">
        <v>2.067077830901303</v>
      </c>
    </row>
    <row r="9">
      <c r="A9" t="inlineStr">
        <is>
          <t>Airline</t>
        </is>
      </c>
      <c r="B9" t="inlineStr">
        <is>
          <t>EMIRATES</t>
        </is>
      </c>
      <c r="C9" t="n">
        <v>3131</v>
      </c>
      <c r="D9" t="n">
        <v>1.854978701218681</v>
      </c>
    </row>
    <row r="10">
      <c r="A10" t="inlineStr">
        <is>
          <t>Airline</t>
        </is>
      </c>
      <c r="B10" t="inlineStr">
        <is>
          <t>KLM</t>
        </is>
      </c>
      <c r="C10" t="n">
        <v>2936</v>
      </c>
      <c r="D10" t="n">
        <v>1.739449845665298</v>
      </c>
    </row>
    <row r="11">
      <c r="A11" t="inlineStr">
        <is>
          <t>Airline</t>
        </is>
      </c>
      <c r="B11" t="inlineStr">
        <is>
          <t>SUNEXPRESS</t>
        </is>
      </c>
      <c r="C11" t="n">
        <v>2574</v>
      </c>
      <c r="D11" t="n">
        <v>1.524980893304658</v>
      </c>
    </row>
    <row r="12">
      <c r="A12" t="inlineStr">
        <is>
          <t>Airline</t>
        </is>
      </c>
      <c r="B12" t="inlineStr">
        <is>
          <t>UNITED AIRLINES</t>
        </is>
      </c>
      <c r="C12" t="n">
        <v>1744</v>
      </c>
      <c r="D12" t="n">
        <v>1.033242687615899</v>
      </c>
    </row>
    <row r="13">
      <c r="A13" t="inlineStr">
        <is>
          <t>Airline</t>
        </is>
      </c>
      <c r="B13" t="inlineStr">
        <is>
          <t>LUFTHANSA</t>
        </is>
      </c>
      <c r="C13" t="n">
        <v>1705</v>
      </c>
      <c r="D13" t="n">
        <v>1.010136916505223</v>
      </c>
    </row>
    <row r="14">
      <c r="A14" t="inlineStr">
        <is>
          <t>Airline</t>
        </is>
      </c>
      <c r="B14" t="inlineStr">
        <is>
          <t>LOGANAIR</t>
        </is>
      </c>
      <c r="C14" t="n">
        <v>1673</v>
      </c>
      <c r="D14" t="n">
        <v>0.9911783350810774</v>
      </c>
    </row>
    <row r="15">
      <c r="A15" t="inlineStr">
        <is>
          <t>Airline</t>
        </is>
      </c>
      <c r="B15" t="inlineStr">
        <is>
          <t>AIR FRANCE</t>
        </is>
      </c>
      <c r="C15" t="n">
        <v>1507</v>
      </c>
      <c r="D15" t="n">
        <v>0.8928306939433257</v>
      </c>
    </row>
    <row r="16">
      <c r="A16" t="inlineStr">
        <is>
          <t>Airline</t>
        </is>
      </c>
      <c r="B16" t="inlineStr">
        <is>
          <t>TURKISH AIRLINES</t>
        </is>
      </c>
      <c r="C16" t="n">
        <v>1468</v>
      </c>
      <c r="D16" t="n">
        <v>0.869724922832649</v>
      </c>
    </row>
    <row r="17">
      <c r="A17" t="inlineStr">
        <is>
          <t>Airline</t>
        </is>
      </c>
      <c r="B17" t="inlineStr">
        <is>
          <t>DELTA AIR LINES</t>
        </is>
      </c>
      <c r="C17" t="n">
        <v>1307</v>
      </c>
      <c r="D17" t="n">
        <v>0.7743395600424199</v>
      </c>
    </row>
    <row r="18">
      <c r="A18" t="inlineStr">
        <is>
          <t>Airline</t>
        </is>
      </c>
      <c r="B18" t="inlineStr">
        <is>
          <t>AER LINGUS</t>
        </is>
      </c>
      <c r="C18" t="n">
        <v>1062</v>
      </c>
      <c r="D18" t="n">
        <v>0.6291879210138102</v>
      </c>
    </row>
    <row r="19">
      <c r="A19" t="inlineStr">
        <is>
          <t>Airline</t>
        </is>
      </c>
      <c r="B19" t="inlineStr">
        <is>
          <t>VIRGIN ATLANTIC AIRWAYS</t>
        </is>
      </c>
      <c r="C19" t="n">
        <v>1059</v>
      </c>
      <c r="D19" t="n">
        <v>0.6274105540052966</v>
      </c>
    </row>
    <row r="20">
      <c r="A20" t="inlineStr">
        <is>
          <t>Airline</t>
        </is>
      </c>
      <c r="B20" t="inlineStr">
        <is>
          <t>NORWEGIAN AIR SWEDEN</t>
        </is>
      </c>
      <c r="C20" t="n">
        <v>673</v>
      </c>
      <c r="D20" t="n">
        <v>0.3987226655765483</v>
      </c>
    </row>
    <row r="21">
      <c r="A21" t="inlineStr">
        <is>
          <t>Airline</t>
        </is>
      </c>
      <c r="B21" t="inlineStr">
        <is>
          <t>AIR CANADA</t>
        </is>
      </c>
      <c r="C21" t="n">
        <v>499</v>
      </c>
      <c r="D21" t="n">
        <v>0.2956353790827602</v>
      </c>
    </row>
    <row r="22">
      <c r="A22" t="inlineStr">
        <is>
          <t>Airline</t>
        </is>
      </c>
      <c r="B22" t="inlineStr">
        <is>
          <t>WESTJET</t>
        </is>
      </c>
      <c r="C22" t="n">
        <v>444</v>
      </c>
      <c r="D22" t="n">
        <v>0.263050317260011</v>
      </c>
    </row>
    <row r="23">
      <c r="A23" t="inlineStr">
        <is>
          <t>Airline</t>
        </is>
      </c>
      <c r="B23" t="inlineStr">
        <is>
          <t>JETBLUE AIRWAYS</t>
        </is>
      </c>
      <c r="C23" t="n">
        <v>432</v>
      </c>
      <c r="D23" t="n">
        <v>0.2559408492259567</v>
      </c>
    </row>
    <row r="24">
      <c r="A24" t="inlineStr">
        <is>
          <t>Airline</t>
        </is>
      </c>
      <c r="B24" t="inlineStr">
        <is>
          <t>FINNAIR</t>
        </is>
      </c>
      <c r="C24" t="n">
        <v>431</v>
      </c>
      <c r="D24" t="n">
        <v>0.2553483935564521</v>
      </c>
    </row>
    <row r="25">
      <c r="A25" t="inlineStr">
        <is>
          <t>Airline</t>
        </is>
      </c>
      <c r="B25" t="inlineStr">
        <is>
          <t>EUROWINGS</t>
        </is>
      </c>
      <c r="C25" t="n">
        <v>426</v>
      </c>
      <c r="D25" t="n">
        <v>0.2523861152089295</v>
      </c>
    </row>
    <row r="26">
      <c r="A26" t="inlineStr">
        <is>
          <t>Airline</t>
        </is>
      </c>
      <c r="B26" t="inlineStr">
        <is>
          <t>PEGASUS AIRLINES</t>
        </is>
      </c>
      <c r="C26" t="n">
        <v>393</v>
      </c>
      <c r="D26" t="n">
        <v>0.23283507811528</v>
      </c>
    </row>
    <row r="27">
      <c r="A27" t="inlineStr">
        <is>
          <t>Airline</t>
        </is>
      </c>
      <c r="B27" t="inlineStr">
        <is>
          <t>EDELWEISS AIR</t>
        </is>
      </c>
      <c r="C27" t="n">
        <v>356</v>
      </c>
      <c r="D27" t="n">
        <v>0.2109142183436124</v>
      </c>
    </row>
    <row r="28">
      <c r="A28" t="inlineStr">
        <is>
          <t>Airline</t>
        </is>
      </c>
      <c r="B28" t="inlineStr">
        <is>
          <t>AEGEAN AIRLINES</t>
        </is>
      </c>
      <c r="C28" t="n">
        <v>348</v>
      </c>
      <c r="D28" t="n">
        <v>0.2061745729875762</v>
      </c>
    </row>
    <row r="29">
      <c r="A29" t="inlineStr">
        <is>
          <t>Airline</t>
        </is>
      </c>
      <c r="B29" t="inlineStr">
        <is>
          <t>SAS</t>
        </is>
      </c>
      <c r="C29" t="n">
        <v>344</v>
      </c>
      <c r="D29" t="n">
        <v>0.2038047503095581</v>
      </c>
    </row>
    <row r="30">
      <c r="A30" t="inlineStr">
        <is>
          <t>Airline</t>
        </is>
      </c>
      <c r="B30" t="inlineStr">
        <is>
          <t>TUI AIRWAYS</t>
        </is>
      </c>
      <c r="C30" t="n">
        <v>276</v>
      </c>
      <c r="D30" t="n">
        <v>0.1635177647832501</v>
      </c>
    </row>
    <row r="31">
      <c r="A31" t="inlineStr">
        <is>
          <t>Airline</t>
        </is>
      </c>
      <c r="B31" t="inlineStr">
        <is>
          <t>VUELING AIRLINES</t>
        </is>
      </c>
      <c r="C31" t="n">
        <v>213</v>
      </c>
      <c r="D31" t="n">
        <v>0.1261930576044648</v>
      </c>
    </row>
    <row r="32">
      <c r="A32" t="inlineStr">
        <is>
          <t>Airline</t>
        </is>
      </c>
      <c r="B32" t="inlineStr">
        <is>
          <t>BRUSSELS AIRLINES</t>
        </is>
      </c>
      <c r="C32" t="n">
        <v>183</v>
      </c>
      <c r="D32" t="n">
        <v>0.1084193875193289</v>
      </c>
    </row>
    <row r="33">
      <c r="A33" t="inlineStr">
        <is>
          <t>Airline</t>
        </is>
      </c>
      <c r="B33" t="inlineStr">
        <is>
          <t>TRANSAVIA FRANCE</t>
        </is>
      </c>
      <c r="C33" t="n">
        <v>109</v>
      </c>
      <c r="D33" t="n">
        <v>0.06457766797599369</v>
      </c>
    </row>
    <row r="34">
      <c r="A34" t="inlineStr">
        <is>
          <t>Airline</t>
        </is>
      </c>
      <c r="B34" t="inlineStr">
        <is>
          <t>AMERICAN AIRLINES</t>
        </is>
      </c>
      <c r="C34" t="n">
        <v>80</v>
      </c>
      <c r="D34" t="n">
        <v>0.04739645356036234</v>
      </c>
    </row>
    <row r="35">
      <c r="A35" t="inlineStr">
        <is>
          <t>Airline</t>
        </is>
      </c>
      <c r="B35" t="inlineStr">
        <is>
          <t>HAINAN AIRLINES</t>
        </is>
      </c>
      <c r="C35" t="n">
        <v>70</v>
      </c>
      <c r="D35" t="n">
        <v>0.04147189686531706</v>
      </c>
    </row>
    <row r="36">
      <c r="A36" t="inlineStr">
        <is>
          <t>Airline</t>
        </is>
      </c>
      <c r="B36" t="inlineStr">
        <is>
          <t>AIREST CARGO</t>
        </is>
      </c>
      <c r="C36" t="n">
        <v>64</v>
      </c>
      <c r="D36" t="n">
        <v>0.03791716284828988</v>
      </c>
    </row>
    <row r="37">
      <c r="A37" t="inlineStr">
        <is>
          <t>Airline</t>
        </is>
      </c>
      <c r="B37" t="inlineStr">
        <is>
          <t>ATLANTIC AIRWAYS</t>
        </is>
      </c>
      <c r="C37" t="n">
        <v>63</v>
      </c>
      <c r="D37" t="n">
        <v>0.03732470717878535</v>
      </c>
    </row>
    <row r="38">
      <c r="A38" t="inlineStr">
        <is>
          <t>Airline</t>
        </is>
      </c>
      <c r="B38" t="inlineStr">
        <is>
          <t>ICELANDAIR</t>
        </is>
      </c>
      <c r="C38" t="n">
        <v>58</v>
      </c>
      <c r="D38" t="n">
        <v>0.0343624288312627</v>
      </c>
    </row>
    <row r="39">
      <c r="A39" t="inlineStr">
        <is>
          <t>Airline</t>
        </is>
      </c>
      <c r="B39" t="inlineStr">
        <is>
          <t>AURIGNY AIR SERVICES</t>
        </is>
      </c>
      <c r="C39" t="n">
        <v>35</v>
      </c>
      <c r="D39" t="n">
        <v>0.02073594843265853</v>
      </c>
    </row>
    <row r="40">
      <c r="A40" t="inlineStr">
        <is>
          <t>Airline</t>
        </is>
      </c>
      <c r="B40" t="inlineStr">
        <is>
          <t>AUSTRIAN AIRLINES</t>
        </is>
      </c>
      <c r="C40" t="n">
        <v>20</v>
      </c>
      <c r="D40" t="n">
        <v>0.01184911339009059</v>
      </c>
    </row>
    <row r="41">
      <c r="A41" t="inlineStr">
        <is>
          <t>Airline</t>
        </is>
      </c>
      <c r="B41" t="inlineStr">
        <is>
          <t>NORWEGIAN AIR INTERNATIONAL</t>
        </is>
      </c>
      <c r="C41" t="n">
        <v>18</v>
      </c>
      <c r="D41" t="n">
        <v>0.01066420205108153</v>
      </c>
    </row>
    <row r="42">
      <c r="A42" t="inlineStr">
        <is>
          <t>Airline</t>
        </is>
      </c>
      <c r="B42" t="inlineStr">
        <is>
          <t>LUFTHANSA CITY AIRLINES</t>
        </is>
      </c>
      <c r="C42" t="n">
        <v>4</v>
      </c>
      <c r="D42" t="n">
        <v>0.002369822678018118</v>
      </c>
    </row>
    <row r="43">
      <c r="A43" t="inlineStr">
        <is>
          <t>Airline</t>
        </is>
      </c>
      <c r="B43" t="inlineStr">
        <is>
          <t>NORWEGIAN</t>
        </is>
      </c>
      <c r="C43" t="n">
        <v>2</v>
      </c>
      <c r="D43" t="n">
        <v>0.001184911339009059</v>
      </c>
    </row>
    <row r="44">
      <c r="A44" t="inlineStr">
        <is>
          <t>Sector</t>
        </is>
      </c>
      <c r="B44" t="inlineStr">
        <is>
          <t>International</t>
        </is>
      </c>
      <c r="C44" t="n">
        <v>118050</v>
      </c>
      <c r="D44" t="n">
        <v>69.93939178500969</v>
      </c>
    </row>
    <row r="45">
      <c r="A45" t="inlineStr">
        <is>
          <t>Sector</t>
        </is>
      </c>
      <c r="B45" t="inlineStr">
        <is>
          <t>Domestic</t>
        </is>
      </c>
      <c r="C45" t="n">
        <v>14509</v>
      </c>
      <c r="D45" t="n">
        <v>8.595939308841217</v>
      </c>
    </row>
    <row r="46">
      <c r="A46" t="inlineStr">
        <is>
          <t>Sector</t>
        </is>
      </c>
      <c r="B46" t="inlineStr">
        <is>
          <t>CTA</t>
        </is>
      </c>
      <c r="C46" t="n">
        <v>2680</v>
      </c>
      <c r="D46" t="n">
        <v>1.587781194272138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E8"/>
  <sheetViews>
    <sheetView showGridLines="0" workbookViewId="0">
      <selection activeCell="E35" sqref="E34:E35"/>
    </sheetView>
  </sheetViews>
  <sheetFormatPr baseColWidth="8" defaultRowHeight="15" outlineLevelCol="0"/>
  <cols>
    <col width="10.140625" customWidth="1" min="1" max="1"/>
    <col width="14.140625" customWidth="1" min="2" max="2"/>
    <col width="19.7109375" customWidth="1" min="3" max="3"/>
    <col width="9.140625" customWidth="1" min="4" max="4"/>
    <col width="51.5703125" customWidth="1" min="5" max="5"/>
  </cols>
  <sheetData>
    <row r="2" ht="15.75" customHeight="1" thickBot="1">
      <c r="A2" t="inlineStr">
        <is>
          <t>Period</t>
        </is>
      </c>
      <c r="B2" t="inlineStr">
        <is>
          <t>Count</t>
        </is>
      </c>
      <c r="C2" t="inlineStr">
        <is>
          <t>Absolute Change</t>
        </is>
      </c>
      <c r="D2" t="inlineStr">
        <is>
          <t>Percent Change</t>
        </is>
      </c>
    </row>
    <row r="3" ht="24.95" customHeight="1" thickBot="1" thickTop="1">
      <c r="A3" s="16" t="n">
        <v>2025</v>
      </c>
      <c r="B3" s="13" t="n">
        <v>168789</v>
      </c>
      <c r="C3" t="n">
        <v/>
      </c>
      <c r="D3" t="n">
        <v/>
      </c>
    </row>
    <row r="4" ht="24.95" customHeight="1" thickBot="1" thickTop="1">
      <c r="A4" s="16" t="n">
        <v>2024</v>
      </c>
      <c r="B4" s="14" t="n">
        <v>152342</v>
      </c>
      <c r="C4" t="n">
        <v>16447</v>
      </c>
      <c r="D4" t="n">
        <v>10.7961035039582</v>
      </c>
    </row>
    <row r="5" ht="24.95" customHeight="1" thickBot="1" thickTop="1">
      <c r="A5" s="16" t="n">
        <v>2023</v>
      </c>
      <c r="B5" s="14" t="n">
        <v>114041</v>
      </c>
      <c r="C5" t="n">
        <v>54748</v>
      </c>
      <c r="D5" t="n">
        <v>48.00729562175007</v>
      </c>
    </row>
    <row r="6" ht="15.75" customHeight="1" thickTop="1">
      <c r="A6" t="n">
        <v>2022</v>
      </c>
      <c r="B6" s="12" t="n">
        <v>55550</v>
      </c>
      <c r="C6" t="n">
        <v>113239</v>
      </c>
      <c r="D6" t="n">
        <v>203.8505850585059</v>
      </c>
    </row>
    <row r="7"/>
    <row r="8">
      <c r="E8" s="15">
        <f>"FastPark Transactions " &amp; IF(D4&gt;=0, "grew by ", " decreased by ") &amp; TEXT(ABS(D4/100), "0.00%") &amp; " between " &amp; TEXT(A4, 0) &amp; " and " &amp; TEXT(A3, 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A43" sqref="AA43"/>
    </sheetView>
  </sheetViews>
  <sheetFormatPr baseColWidth="8" defaultRowHeight="15"/>
  <sheetData/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2026-03-11T13:22:11Z</dcterms:created>
  <dcterms:modified xsi:type="dcterms:W3CDTF">2026-03-11T14:56:36Z</dcterms:modified>
  <cp:lastModifiedBy>Jamie Douglas</cp:lastModifiedBy>
</cp:coreProperties>
</file>