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onyx4-my.sharepoint.com/personal/jamie_douglas_edinburghairport_com/Documents/Documents/GitHub/EDI_airport_analytics/output/"/>
    </mc:Choice>
  </mc:AlternateContent>
  <xr:revisionPtr revIDLastSave="9" documentId="11_8F6405F84873C9CD4B1EA150DDF081C921A201F9" xr6:coauthVersionLast="47" xr6:coauthVersionMax="47" xr10:uidLastSave="{D6C7DBD0-8AB6-45D9-857A-7CD68B005730}"/>
  <bookViews>
    <workbookView xWindow="-110" yWindow="-110" windowWidth="19420" windowHeight="11500" firstSheet="2" activeTab="5" xr2:uid="{00000000-000D-0000-FFFF-FFFF00000000}"/>
  </bookViews>
  <sheets>
    <sheet name="Monthly Movements" sheetId="1" r:id="rId1"/>
    <sheet name="Summary" sheetId="2" r:id="rId2"/>
    <sheet name="Entry Exit Distribution" sheetId="3" r:id="rId3"/>
    <sheet name="Length of Stay" sheetId="4" r:id="rId4"/>
    <sheet name="Flight Info" sheetId="5" r:id="rId5"/>
    <sheet name="Transaction Growth" sheetId="6" r:id="rId6"/>
    <sheet name="Charts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6" l="1"/>
  <c r="E5" i="5"/>
  <c r="E4" i="5"/>
  <c r="E3" i="5"/>
  <c r="P14" i="3"/>
  <c r="N12" i="3"/>
  <c r="N11" i="3"/>
  <c r="N10" i="3"/>
  <c r="N9" i="3"/>
  <c r="N8" i="3"/>
  <c r="N7" i="3"/>
  <c r="N6" i="3"/>
  <c r="N5" i="3"/>
  <c r="N4" i="3"/>
  <c r="N3" i="3"/>
</calcChain>
</file>

<file path=xl/sharedStrings.xml><?xml version="1.0" encoding="utf-8"?>
<sst xmlns="http://schemas.openxmlformats.org/spreadsheetml/2006/main" count="169" uniqueCount="121">
  <si>
    <t>Period</t>
  </si>
  <si>
    <t>Count</t>
  </si>
  <si>
    <t>Absolute Change</t>
  </si>
  <si>
    <t>Percent Change</t>
  </si>
  <si>
    <t>Month</t>
  </si>
  <si>
    <t>Entries</t>
  </si>
  <si>
    <t>Exits</t>
  </si>
  <si>
    <t>2026-01</t>
  </si>
  <si>
    <t>2026-02</t>
  </si>
  <si>
    <t>2026-03</t>
  </si>
  <si>
    <t>Metric</t>
  </si>
  <si>
    <t>Value</t>
  </si>
  <si>
    <t>Peak Type</t>
  </si>
  <si>
    <t>Date</t>
  </si>
  <si>
    <t>Total</t>
  </si>
  <si>
    <t>Total Transactions (Distinct Bookings)</t>
  </si>
  <si>
    <t>Total Entries</t>
  </si>
  <si>
    <t>Total Exits</t>
  </si>
  <si>
    <t>Entries Validation Passed</t>
  </si>
  <si>
    <t>Exits Validation Passed</t>
  </si>
  <si>
    <t>Average Kiosk Transaction Time (secs)</t>
  </si>
  <si>
    <t>Invalid Duration Count</t>
  </si>
  <si>
    <t>Total Transactions</t>
  </si>
  <si>
    <t>Peak Entries Day</t>
  </si>
  <si>
    <t>07 Feb 2026</t>
  </si>
  <si>
    <t>Peak Exits Day</t>
  </si>
  <si>
    <t>03 Jan 2026</t>
  </si>
  <si>
    <t>Peak Movements Day</t>
  </si>
  <si>
    <t>14 Feb 2026</t>
  </si>
  <si>
    <t>Average Entry Difference (HH:MM)</t>
  </si>
  <si>
    <t>01:22</t>
  </si>
  <si>
    <t>Median Entry Difference (HH:MM)</t>
  </si>
  <si>
    <t>00:14</t>
  </si>
  <si>
    <t>Average Exit Difference (HH:MM)</t>
  </si>
  <si>
    <t>09:42</t>
  </si>
  <si>
    <t>Median Exit Difference (HH:MM)</t>
  </si>
  <si>
    <t>00:38</t>
  </si>
  <si>
    <t>Entry Min (mins)</t>
  </si>
  <si>
    <t>Entry 25th Percentile (mins)</t>
  </si>
  <si>
    <t>Entry 75th Percentile (mins)</t>
  </si>
  <si>
    <t>Entry Max (mins)</t>
  </si>
  <si>
    <t>Exit Min (mins)</t>
  </si>
  <si>
    <t>Exit 25th Percentile (mins)</t>
  </si>
  <si>
    <t>Exit 75th Percentile (mins)</t>
  </si>
  <si>
    <t>Exit Max (mins)</t>
  </si>
  <si>
    <t>Bin Start</t>
  </si>
  <si>
    <t>Bin End</t>
  </si>
  <si>
    <t>Bin Midpoint</t>
  </si>
  <si>
    <t>Entry Count</t>
  </si>
  <si>
    <t>Exit Count</t>
  </si>
  <si>
    <t>Zero Line</t>
  </si>
  <si>
    <t>Avg Entry Line</t>
  </si>
  <si>
    <t>Median Entry Line</t>
  </si>
  <si>
    <t>Avg Exit Line</t>
  </si>
  <si>
    <t>Median Exit Line</t>
  </si>
  <si>
    <t>Minutes</t>
  </si>
  <si>
    <t>BookingReference</t>
  </si>
  <si>
    <t>Length of Stay Days</t>
  </si>
  <si>
    <t>Kind</t>
  </si>
  <si>
    <t>Z3OULUH</t>
  </si>
  <si>
    <t>Top 3</t>
  </si>
  <si>
    <t>LD751DR</t>
  </si>
  <si>
    <t>AXF56QZER</t>
  </si>
  <si>
    <t>AX88YV1AP</t>
  </si>
  <si>
    <t>Bottom 3</t>
  </si>
  <si>
    <t>8IU225NYK</t>
  </si>
  <si>
    <t>AXP3AV068</t>
  </si>
  <si>
    <t>Average LOS</t>
  </si>
  <si>
    <t>Average</t>
  </si>
  <si>
    <t>1</t>
  </si>
  <si>
    <t>Bins</t>
  </si>
  <si>
    <t>2</t>
  </si>
  <si>
    <t>3-6</t>
  </si>
  <si>
    <t>7-9</t>
  </si>
  <si>
    <t>10-13</t>
  </si>
  <si>
    <t>14-20</t>
  </si>
  <si>
    <t>21-29</t>
  </si>
  <si>
    <t>30-59</t>
  </si>
  <si>
    <t>60-89</t>
  </si>
  <si>
    <t>Category</t>
  </si>
  <si>
    <t>Name</t>
  </si>
  <si>
    <t>Percent</t>
  </si>
  <si>
    <t>Airline</t>
  </si>
  <si>
    <t>RYANAIR</t>
  </si>
  <si>
    <t>JET2</t>
  </si>
  <si>
    <t>EASYJET</t>
  </si>
  <si>
    <t>BRITISH AIRWAYS</t>
  </si>
  <si>
    <t>RYANAIR UK</t>
  </si>
  <si>
    <t>QATAR AIRWAYS</t>
  </si>
  <si>
    <t>KLM</t>
  </si>
  <si>
    <t>EMIRATES</t>
  </si>
  <si>
    <t>UNITED AIRLINES</t>
  </si>
  <si>
    <t>AIR FRANCE</t>
  </si>
  <si>
    <t>TUI AIRWAYS</t>
  </si>
  <si>
    <t>AER LINGUS</t>
  </si>
  <si>
    <t>TURKISH AIRLINES</t>
  </si>
  <si>
    <t>LUFTHANSA</t>
  </si>
  <si>
    <t>LOGANAIR</t>
  </si>
  <si>
    <t>PEGASUS AIRLINES</t>
  </si>
  <si>
    <t>FINNAIR</t>
  </si>
  <si>
    <t>EDELWEISS AIR</t>
  </si>
  <si>
    <t>NORWEGIAN AIR SWEDEN</t>
  </si>
  <si>
    <t>VUELING AIRLINES</t>
  </si>
  <si>
    <t>ICELANDAIR</t>
  </si>
  <si>
    <t>DELTA AIR LINES</t>
  </si>
  <si>
    <t>AEGEAN AIRLINES</t>
  </si>
  <si>
    <t>EUROWINGS</t>
  </si>
  <si>
    <t>SUNEXPRESS</t>
  </si>
  <si>
    <t>AMERICAN AIRLINES</t>
  </si>
  <si>
    <t>HAINAN AIRLINES</t>
  </si>
  <si>
    <t>BRUSSELS AIRLINES</t>
  </si>
  <si>
    <t>AURIGNY AIR SERVICES</t>
  </si>
  <si>
    <t>SAS</t>
  </si>
  <si>
    <t>NORWEGIAN</t>
  </si>
  <si>
    <t>AIR CANADA</t>
  </si>
  <si>
    <t>ASL AIRLINES FRANCE</t>
  </si>
  <si>
    <t>TRANSAVIA FRANCE</t>
  </si>
  <si>
    <t>Sector</t>
  </si>
  <si>
    <t>International</t>
  </si>
  <si>
    <t>Domestic</t>
  </si>
  <si>
    <t>CTA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</si>
</sst>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,&quot;k&quot;"/>
  </numFmts>
  <fonts count="21" x14ac:knownFonts="1">
    <font>
      <sz val="11"/>
      <color theme="1"/>
      <name val="Calibri"/>
      <family val="2"/>
      <scheme val="minor"/>
    </font>
    <font>
      <b/>
      <sz val="24"/>
      <color rgb="FFFC8896"/>
      <name val="Calibri"/>
      <family val="2"/>
      <scheme val="minor"/>
    </font>
    <font>
      <b/>
      <sz val="24"/>
      <color rgb="FFFFCBB1"/>
      <name val="Calibri"/>
      <family val="2"/>
      <scheme val="minor"/>
    </font>
    <font>
      <sz val="14"/>
      <color rgb="FFFFD893"/>
      <name val="Calibri"/>
      <family val="2"/>
      <scheme val="minor"/>
    </font>
    <font>
      <b/>
      <sz val="24"/>
      <color rgb="FFFFD893"/>
      <name val="Calibri"/>
      <family val="2"/>
      <scheme val="minor"/>
    </font>
    <font>
      <sz val="14"/>
      <color rgb="FFA7A3BC"/>
      <name val="Calibri"/>
      <family val="2"/>
      <scheme val="minor"/>
    </font>
    <font>
      <b/>
      <sz val="24"/>
      <color rgb="FFA7A3BC"/>
      <name val="Calibri"/>
      <family val="2"/>
      <scheme val="minor"/>
    </font>
    <font>
      <sz val="14"/>
      <color rgb="FFFEAFB5"/>
      <name val="Calibri"/>
      <family val="2"/>
      <scheme val="minor"/>
    </font>
    <font>
      <b/>
      <sz val="24"/>
      <color rgb="FFFEAFB5"/>
      <name val="Calibri"/>
      <family val="2"/>
      <scheme val="minor"/>
    </font>
    <font>
      <b/>
      <sz val="24"/>
      <color rgb="FFD2B0C8"/>
      <name val="Calibri"/>
      <family val="2"/>
      <scheme val="minor"/>
    </font>
    <font>
      <b/>
      <sz val="24"/>
      <color rgb="FFC1C1FF"/>
      <name val="Calibri"/>
      <family val="2"/>
      <scheme val="minor"/>
    </font>
    <font>
      <b/>
      <sz val="16"/>
      <color theme="0" tint="-0.249977111117893"/>
      <name val="Calibri"/>
      <family val="2"/>
      <scheme val="minor"/>
    </font>
    <font>
      <b/>
      <i/>
      <sz val="11"/>
      <color theme="0"/>
      <name val="Calibri"/>
      <family val="2"/>
      <scheme val="minor"/>
    </font>
    <font>
      <b/>
      <sz val="14"/>
      <color theme="6" tint="0.79998168889431442"/>
      <name val="Calibri"/>
      <family val="2"/>
      <scheme val="minor"/>
    </font>
    <font>
      <sz val="11"/>
      <color theme="6" tint="0.59999389629810485"/>
      <name val="Calibri"/>
      <family val="2"/>
      <scheme val="minor"/>
    </font>
    <font>
      <b/>
      <sz val="20"/>
      <color rgb="FFD2B0C8"/>
      <name val="Calibri"/>
      <family val="2"/>
      <scheme val="minor"/>
    </font>
    <font>
      <b/>
      <sz val="20"/>
      <color rgb="FFC1C1FF"/>
      <name val="Calibri"/>
      <family val="2"/>
      <scheme val="minor"/>
    </font>
    <font>
      <b/>
      <sz val="20"/>
      <color theme="6" tint="0.59999389629810485"/>
      <name val="Calibri"/>
      <family val="2"/>
      <scheme val="minor"/>
    </font>
    <font>
      <b/>
      <sz val="18"/>
      <color theme="0" tint="-0.249977111117893"/>
      <name val="Calibri"/>
      <family val="2"/>
      <scheme val="minor"/>
    </font>
    <font>
      <i/>
      <sz val="12"/>
      <color theme="0" tint="-4.9989318521683403E-2"/>
      <name val="Calibri"/>
      <family val="2"/>
      <scheme val="minor"/>
    </font>
    <font>
      <i/>
      <sz val="11"/>
      <color theme="0" tint="-0.1499984740745262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/>
      <right/>
      <top style="thick">
        <color rgb="FFCE007F"/>
      </top>
      <bottom style="thick">
        <color rgb="FFCE007F"/>
      </bottom>
      <diagonal/>
    </border>
    <border>
      <left/>
      <right/>
      <top/>
      <bottom style="thin">
        <color theme="6" tint="0.79998168889431442"/>
      </bottom>
      <diagonal/>
    </border>
    <border>
      <left/>
      <right/>
      <top style="thin">
        <color theme="6" tint="0.79998168889431442"/>
      </top>
      <bottom style="thin">
        <color theme="6" tint="0.79998168889431442"/>
      </bottom>
      <diagonal/>
    </border>
    <border>
      <left/>
      <right/>
      <top style="thin">
        <color theme="6" tint="0.79998168889431442"/>
      </top>
      <bottom/>
      <diagonal/>
    </border>
  </borders>
  <cellStyleXfs count="1">
    <xf numFmtId="0" fontId="0" fillId="0" borderId="0"/>
  </cellStyleXfs>
  <cellXfs count="29">
    <xf numFmtId="0" fontId="0" fillId="0" borderId="0" xfId="0"/>
    <xf numFmtId="164" fontId="1" fillId="0" borderId="0" xfId="0" applyNumberFormat="1" applyFont="1"/>
    <xf numFmtId="1" fontId="2" fillId="0" borderId="0" xfId="0" applyNumberFormat="1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6" fillId="0" borderId="0" xfId="0" applyFont="1"/>
    <xf numFmtId="0" fontId="7" fillId="0" borderId="0" xfId="0" applyFont="1"/>
    <xf numFmtId="0" fontId="8" fillId="0" borderId="0" xfId="0" applyFont="1"/>
    <xf numFmtId="0" fontId="9" fillId="0" borderId="0" xfId="0" applyFont="1"/>
    <xf numFmtId="0" fontId="10" fillId="0" borderId="0" xfId="0" applyFont="1"/>
    <xf numFmtId="1" fontId="9" fillId="0" borderId="0" xfId="0" applyNumberFormat="1" applyFont="1"/>
    <xf numFmtId="164" fontId="0" fillId="0" borderId="0" xfId="0" applyNumberFormat="1"/>
    <xf numFmtId="164" fontId="11" fillId="0" borderId="0" xfId="0" applyNumberFormat="1" applyFont="1"/>
    <xf numFmtId="0" fontId="12" fillId="0" borderId="1" xfId="0" applyFont="1" applyBorder="1" applyAlignment="1">
      <alignment horizontal="center" vertical="center"/>
    </xf>
    <xf numFmtId="0" fontId="13" fillId="0" borderId="2" xfId="0" applyFont="1" applyBorder="1"/>
    <xf numFmtId="0" fontId="13" fillId="0" borderId="0" xfId="0" applyFont="1"/>
    <xf numFmtId="0" fontId="13" fillId="0" borderId="3" xfId="0" applyFont="1" applyBorder="1"/>
    <xf numFmtId="0" fontId="14" fillId="0" borderId="2" xfId="0" applyFont="1" applyBorder="1"/>
    <xf numFmtId="0" fontId="14" fillId="0" borderId="3" xfId="0" applyFont="1" applyBorder="1"/>
    <xf numFmtId="0" fontId="14" fillId="0" borderId="4" xfId="0" applyFont="1" applyBorder="1"/>
    <xf numFmtId="0" fontId="0" fillId="0" borderId="0" xfId="0" applyAlignment="1">
      <alignment horizontal="left"/>
    </xf>
    <xf numFmtId="0" fontId="15" fillId="0" borderId="0" xfId="0" applyFont="1"/>
    <xf numFmtId="0" fontId="16" fillId="0" borderId="0" xfId="0" applyFont="1"/>
    <xf numFmtId="164" fontId="17" fillId="0" borderId="0" xfId="0" applyNumberFormat="1" applyFont="1"/>
    <xf numFmtId="164" fontId="18" fillId="0" borderId="0" xfId="0" applyNumberFormat="1" applyFont="1"/>
    <xf numFmtId="0" fontId="0" fillId="0" borderId="0" xfId="0" quotePrefix="1"/>
    <xf numFmtId="0" fontId="20" fillId="0" borderId="0" xfId="0" quotePrefix="1" applyFont="1" applyAlignment="1">
      <alignment horizontal="center" wrapText="1"/>
    </xf>
    <xf numFmtId="0" fontId="19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rgbClr val="7E0C6E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'Length of Stay'!$A$10:$A$18</c:f>
              <c:strCache>
                <c:ptCount val="9"/>
                <c:pt idx="0">
                  <c:v>1</c:v>
                </c:pt>
                <c:pt idx="1">
                  <c:v>2</c:v>
                </c:pt>
                <c:pt idx="2">
                  <c:v>3-6</c:v>
                </c:pt>
                <c:pt idx="3">
                  <c:v>7-9</c:v>
                </c:pt>
                <c:pt idx="4">
                  <c:v>10-13</c:v>
                </c:pt>
                <c:pt idx="5">
                  <c:v>14-20</c:v>
                </c:pt>
                <c:pt idx="6">
                  <c:v>21-29</c:v>
                </c:pt>
                <c:pt idx="7">
                  <c:v>30-59</c:v>
                </c:pt>
                <c:pt idx="8">
                  <c:v>60-89</c:v>
                </c:pt>
              </c:strCache>
            </c:strRef>
          </c:cat>
          <c:val>
            <c:numRef>
              <c:f>'Length of Stay'!$B$10:$B$18</c:f>
              <c:numCache>
                <c:formatCode>General</c:formatCode>
                <c:ptCount val="9"/>
                <c:pt idx="0">
                  <c:v>805</c:v>
                </c:pt>
                <c:pt idx="1">
                  <c:v>1610</c:v>
                </c:pt>
                <c:pt idx="2">
                  <c:v>14594</c:v>
                </c:pt>
                <c:pt idx="3">
                  <c:v>13746</c:v>
                </c:pt>
                <c:pt idx="4">
                  <c:v>3040</c:v>
                </c:pt>
                <c:pt idx="5">
                  <c:v>2417</c:v>
                </c:pt>
                <c:pt idx="6">
                  <c:v>646</c:v>
                </c:pt>
                <c:pt idx="7">
                  <c:v>164</c:v>
                </c:pt>
                <c:pt idx="8">
                  <c:v>13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B4C-41E4-9878-2BDB21A44D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4"/>
        <c:axId val="761034800"/>
        <c:axId val="761031440"/>
      </c:barChart>
      <c:catAx>
        <c:axId val="761034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60000000" spcFirstLastPara="1" vertOverflow="ellipsis" vert="horz" wrap="square" anchor="ctr" anchorCtr="1"/>
          <a:lstStyle/>
          <a:p>
            <a:pPr>
              <a:defRPr sz="900" b="0" i="0" strike="noStrike" baseline="0">
                <a:solidFill>
                  <a:srgbClr val="22A3B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61031440"/>
        <c:crosses val="autoZero"/>
        <c:auto val="1"/>
        <c:lblAlgn val="ctr"/>
        <c:lblOffset val="100"/>
        <c:noMultiLvlLbl val="0"/>
      </c:catAx>
      <c:valAx>
        <c:axId val="761031440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761034800"/>
        <c:crosses val="autoZero"/>
        <c:crossBetween val="between"/>
      </c:valAx>
    </c:plotArea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autoTitleDeleted val="1"/>
    <c:plotArea>
      <c:layout/>
      <c:doughnutChart>
        <c:varyColors val="1"/>
        <c:ser>
          <c:idx val="0"/>
          <c:order val="0"/>
          <c:tx>
            <c:strRef>
              <c:f>'Flight Info'!$B$37:$B$39</c:f>
              <c:strCache>
                <c:ptCount val="3"/>
                <c:pt idx="0">
                  <c:v>International</c:v>
                </c:pt>
                <c:pt idx="1">
                  <c:v>Domestic</c:v>
                </c:pt>
                <c:pt idx="2">
                  <c:v>CTA</c:v>
                </c:pt>
              </c:strCache>
            </c:strRef>
          </c:tx>
          <c:spPr>
            <a:ln>
              <a:noFill/>
              <a:prstDash val="solid"/>
            </a:ln>
          </c:spPr>
          <c:dPt>
            <c:idx val="0"/>
            <c:bubble3D val="0"/>
            <c:spPr>
              <a:solidFill>
                <a:srgbClr val="22A3B5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1-AECC-4717-8270-65D95DE05BD3}"/>
              </c:ext>
            </c:extLst>
          </c:dPt>
          <c:dPt>
            <c:idx val="1"/>
            <c:bubble3D val="0"/>
            <c:spPr>
              <a:solidFill>
                <a:srgbClr val="CE007F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3-AECC-4717-8270-65D95DE05BD3}"/>
              </c:ext>
            </c:extLst>
          </c:dPt>
          <c:dPt>
            <c:idx val="2"/>
            <c:bubble3D val="0"/>
            <c:spPr>
              <a:solidFill>
                <a:srgbClr val="7E0C6E"/>
              </a:solidFill>
              <a:ln w="19050">
                <a:noFill/>
                <a:prstDash val="solid"/>
              </a:ln>
            </c:spPr>
            <c:extLst>
              <c:ext xmlns:c16="http://schemas.microsoft.com/office/drawing/2014/chart" uri="{C3380CC4-5D6E-409C-BE32-E72D297353CC}">
                <c16:uniqueId val="{00000005-AECC-4717-8270-65D95DE05BD3}"/>
              </c:ext>
            </c:extLst>
          </c:dPt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bg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cat>
            <c:strRef>
              <c:f>'Flight Info'!$B$37:$B$39</c:f>
              <c:strCache>
                <c:ptCount val="3"/>
                <c:pt idx="0">
                  <c:v>International</c:v>
                </c:pt>
                <c:pt idx="1">
                  <c:v>Domestic</c:v>
                </c:pt>
                <c:pt idx="2">
                  <c:v>CTA</c:v>
                </c:pt>
              </c:strCache>
            </c:strRef>
          </c:cat>
          <c:val>
            <c:numRef>
              <c:f>'Flight Info'!$C$37:$C$39</c:f>
              <c:numCache>
                <c:formatCode>General</c:formatCode>
                <c:ptCount val="3"/>
                <c:pt idx="0">
                  <c:v>26981</c:v>
                </c:pt>
                <c:pt idx="1">
                  <c:v>4993</c:v>
                </c:pt>
                <c:pt idx="2">
                  <c:v>689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AECC-4717-8270-65D95DE05BD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</c:plotArea>
    <c:legend>
      <c:legendPos val="b"/>
      <c:overlay val="0"/>
      <c:spPr>
        <a:noFill/>
        <a:ln>
          <a:noFill/>
          <a:prstDash val="solid"/>
        </a:ln>
      </c:spPr>
      <c:txPr>
        <a:bodyPr rot="0" spcFirstLastPara="1" vertOverflow="ellipsis" vert="horz" wrap="square" anchor="ctr" anchorCtr="1"/>
        <a:lstStyle/>
        <a:p>
          <a:pPr>
            <a:defRPr sz="900" b="0" i="0" strike="noStrike" kern="1200" baseline="0">
              <a:solidFill>
                <a:schemeClr val="bg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1"/>
  </c:chart>
  <c:spPr>
    <a:noFill/>
    <a:ln w="9525" cap="flat" cmpd="sng" algn="ctr">
      <a:noFill/>
      <a:prstDash val="solid"/>
      <a:round/>
    </a:ln>
  </c:sp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1"/>
  <c:style val="2"/>
  <c:chart>
    <c:title>
      <c:tx>
        <c:rich>
          <a:bodyPr/>
          <a:lstStyle/>
          <a:p>
            <a:r>
              <a:rPr lang="en-US"/>
              <a:t>None</a:t>
            </a:r>
          </a:p>
        </c:rich>
      </c:tx>
      <c:overlay val="0"/>
      <c:spPr>
        <a:noFill/>
        <a:ln>
          <a:noFill/>
          <a:prstDash val="solid"/>
        </a:ln>
      </c:sp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'Entry Exit Distribution'!$D$2</c:f>
              <c:strCache>
                <c:ptCount val="1"/>
                <c:pt idx="0">
                  <c:v>Entry Count</c:v>
                </c:pt>
              </c:strCache>
            </c:strRef>
          </c:tx>
          <c:spPr>
            <a:solidFill>
              <a:srgbClr val="CE007F"/>
            </a:solidFill>
            <a:ln>
              <a:noFill/>
              <a:prstDash val="solid"/>
            </a:ln>
          </c:spPr>
          <c:invertIfNegative val="0"/>
          <c:dLbls>
            <c:spPr>
              <a:noFill/>
              <a:ln>
                <a:noFill/>
                <a:prstDash val="solid"/>
              </a:ln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'Entry Exit Distribution'!$N$3:$N$13</c:f>
              <c:strCache>
                <c:ptCount val="10"/>
                <c:pt idx="0">
                  <c:v>-180</c:v>
                </c:pt>
                <c:pt idx="1">
                  <c:v>-120 to -180</c:v>
                </c:pt>
                <c:pt idx="2">
                  <c:v>-60 to -120</c:v>
                </c:pt>
                <c:pt idx="3">
                  <c:v>-30 to -60</c:v>
                </c:pt>
                <c:pt idx="4">
                  <c:v>0 to -30</c:v>
                </c:pt>
                <c:pt idx="5">
                  <c:v>0 to 30</c:v>
                </c:pt>
                <c:pt idx="6">
                  <c:v>30 to 60</c:v>
                </c:pt>
                <c:pt idx="7">
                  <c:v>60 to 120</c:v>
                </c:pt>
                <c:pt idx="8">
                  <c:v>120 to 180</c:v>
                </c:pt>
                <c:pt idx="9">
                  <c:v>180+</c:v>
                </c:pt>
              </c:strCache>
            </c:strRef>
          </c:cat>
          <c:val>
            <c:numRef>
              <c:f>'Entry Exit Distribution'!$D$3:$D$12</c:f>
              <c:numCache>
                <c:formatCode>General</c:formatCode>
                <c:ptCount val="10"/>
                <c:pt idx="0">
                  <c:v>475</c:v>
                </c:pt>
                <c:pt idx="1">
                  <c:v>379</c:v>
                </c:pt>
                <c:pt idx="2">
                  <c:v>1534</c:v>
                </c:pt>
                <c:pt idx="3">
                  <c:v>4116</c:v>
                </c:pt>
                <c:pt idx="4">
                  <c:v>16473</c:v>
                </c:pt>
                <c:pt idx="5">
                  <c:v>28799</c:v>
                </c:pt>
                <c:pt idx="6">
                  <c:v>14910</c:v>
                </c:pt>
                <c:pt idx="7">
                  <c:v>7073</c:v>
                </c:pt>
                <c:pt idx="8">
                  <c:v>1029</c:v>
                </c:pt>
                <c:pt idx="9">
                  <c:v>1041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69-4C9C-92EF-DA91200228B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066675392"/>
        <c:axId val="1066672512"/>
      </c:barChart>
      <c:catAx>
        <c:axId val="10666753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prstDash val="solid"/>
            <a:round/>
          </a:ln>
        </c:spPr>
        <c:txPr>
          <a:bodyPr rot="-2700000" spcFirstLastPara="1" vertOverflow="ellipsis" wrap="square" anchor="ctr" anchorCtr="1"/>
          <a:lstStyle/>
          <a:p>
            <a:pPr>
              <a:defRPr sz="900" b="0" i="0" strike="noStrike" kern="1200" baseline="0">
                <a:solidFill>
                  <a:schemeClr val="accent5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66672512"/>
        <c:crosses val="autoZero"/>
        <c:auto val="1"/>
        <c:lblAlgn val="ctr"/>
        <c:lblOffset val="100"/>
        <c:noMultiLvlLbl val="0"/>
      </c:catAx>
      <c:valAx>
        <c:axId val="1066672512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1066675392"/>
        <c:crosses val="autoZero"/>
        <c:crossBetween val="between"/>
      </c:valAx>
    </c:plotArea>
    <c:plotVisOnly val="1"/>
    <c:dispBlanksAs val="gap"/>
    <c:showDLblsOverMax val="1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prstDash val="solid"/>
      <a:round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114300</xdr:colOff>
      <xdr:row>3</xdr:row>
      <xdr:rowOff>76200</xdr:rowOff>
    </xdr:from>
    <xdr:to>
      <xdr:col>14</xdr:col>
      <xdr:colOff>419100</xdr:colOff>
      <xdr:row>18</xdr:row>
      <xdr:rowOff>57150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171450</xdr:colOff>
      <xdr:row>3</xdr:row>
      <xdr:rowOff>85725</xdr:rowOff>
    </xdr:from>
    <xdr:to>
      <xdr:col>6</xdr:col>
      <xdr:colOff>266700</xdr:colOff>
      <xdr:row>16</xdr:row>
      <xdr:rowOff>133350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15</xdr:col>
      <xdr:colOff>552449</xdr:colOff>
      <xdr:row>10</xdr:row>
      <xdr:rowOff>157162</xdr:rowOff>
    </xdr:from>
    <xdr:to>
      <xdr:col>24</xdr:col>
      <xdr:colOff>114300</xdr:colOff>
      <xdr:row>25</xdr:row>
      <xdr:rowOff>42862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5"/>
  <sheetViews>
    <sheetView workbookViewId="0">
      <selection activeCell="E15" sqref="E15"/>
    </sheetView>
  </sheetViews>
  <sheetFormatPr defaultRowHeight="14.5" x14ac:dyDescent="0.35"/>
  <sheetData>
    <row r="2" spans="1:3" x14ac:dyDescent="0.35">
      <c r="A2" t="s">
        <v>4</v>
      </c>
      <c r="B2" t="s">
        <v>5</v>
      </c>
      <c r="C2" t="s">
        <v>6</v>
      </c>
    </row>
    <row r="3" spans="1:3" x14ac:dyDescent="0.35">
      <c r="A3" t="s">
        <v>7</v>
      </c>
      <c r="B3">
        <v>10130</v>
      </c>
      <c r="C3">
        <v>11674</v>
      </c>
    </row>
    <row r="4" spans="1:3" x14ac:dyDescent="0.35">
      <c r="A4" t="s">
        <v>8</v>
      </c>
      <c r="B4">
        <v>12174</v>
      </c>
      <c r="C4">
        <v>11745</v>
      </c>
    </row>
    <row r="5" spans="1:3" x14ac:dyDescent="0.35">
      <c r="A5" t="s">
        <v>9</v>
      </c>
      <c r="B5">
        <v>13740</v>
      </c>
      <c r="C5">
        <v>14040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2:E25"/>
  <sheetViews>
    <sheetView showGridLines="0" topLeftCell="C13" workbookViewId="0">
      <selection activeCell="G16" sqref="G16"/>
    </sheetView>
  </sheetViews>
  <sheetFormatPr defaultRowHeight="14.5" x14ac:dyDescent="0.35"/>
  <cols>
    <col min="1" max="1" width="39.1796875" customWidth="1"/>
    <col min="2" max="2" width="22.7265625" customWidth="1"/>
    <col min="3" max="3" width="26.81640625" customWidth="1"/>
    <col min="4" max="4" width="24.81640625" customWidth="1"/>
    <col min="5" max="5" width="13.1796875" customWidth="1"/>
    <col min="7" max="7" width="69.26953125" customWidth="1"/>
  </cols>
  <sheetData>
    <row r="2" spans="1:5" x14ac:dyDescent="0.35">
      <c r="A2" t="s">
        <v>10</v>
      </c>
      <c r="B2" t="s">
        <v>11</v>
      </c>
      <c r="C2" t="s">
        <v>12</v>
      </c>
      <c r="D2" t="s">
        <v>13</v>
      </c>
      <c r="E2" t="s">
        <v>14</v>
      </c>
    </row>
    <row r="3" spans="1:5" ht="31.5" customHeight="1" x14ac:dyDescent="0.7">
      <c r="A3" t="s">
        <v>15</v>
      </c>
      <c r="B3" s="1">
        <v>40192</v>
      </c>
    </row>
    <row r="4" spans="1:5" x14ac:dyDescent="0.35">
      <c r="A4" t="s">
        <v>16</v>
      </c>
      <c r="B4">
        <v>36044</v>
      </c>
    </row>
    <row r="5" spans="1:5" x14ac:dyDescent="0.35">
      <c r="A5" t="s">
        <v>17</v>
      </c>
      <c r="B5">
        <v>37459</v>
      </c>
    </row>
    <row r="6" spans="1:5" x14ac:dyDescent="0.35">
      <c r="A6" t="s">
        <v>18</v>
      </c>
      <c r="B6">
        <v>1</v>
      </c>
    </row>
    <row r="7" spans="1:5" x14ac:dyDescent="0.35">
      <c r="A7" t="s">
        <v>19</v>
      </c>
      <c r="B7">
        <v>1</v>
      </c>
    </row>
    <row r="8" spans="1:5" ht="31.5" customHeight="1" x14ac:dyDescent="0.7">
      <c r="A8" t="s">
        <v>20</v>
      </c>
      <c r="B8" s="2">
        <v>26.289508386960652</v>
      </c>
    </row>
    <row r="9" spans="1:5" x14ac:dyDescent="0.35">
      <c r="A9" t="s">
        <v>21</v>
      </c>
      <c r="B9">
        <v>5</v>
      </c>
    </row>
    <row r="10" spans="1:5" x14ac:dyDescent="0.35">
      <c r="A10" t="s">
        <v>22</v>
      </c>
      <c r="B10">
        <v>75837</v>
      </c>
    </row>
    <row r="11" spans="1:5" ht="31.5" customHeight="1" x14ac:dyDescent="0.7">
      <c r="C11" t="s">
        <v>23</v>
      </c>
      <c r="D11" s="3" t="s">
        <v>24</v>
      </c>
      <c r="E11" s="4">
        <v>711</v>
      </c>
    </row>
    <row r="12" spans="1:5" ht="31.5" customHeight="1" x14ac:dyDescent="0.7">
      <c r="C12" t="s">
        <v>25</v>
      </c>
      <c r="D12" s="5" t="s">
        <v>26</v>
      </c>
      <c r="E12" s="6">
        <v>812</v>
      </c>
    </row>
    <row r="13" spans="1:5" ht="31.5" customHeight="1" x14ac:dyDescent="0.7">
      <c r="C13" t="s">
        <v>27</v>
      </c>
      <c r="D13" s="7" t="s">
        <v>28</v>
      </c>
      <c r="E13" s="8">
        <v>1251</v>
      </c>
    </row>
    <row r="14" spans="1:5" ht="31.5" customHeight="1" x14ac:dyDescent="0.7">
      <c r="A14" t="s">
        <v>29</v>
      </c>
      <c r="B14" s="9" t="s">
        <v>30</v>
      </c>
    </row>
    <row r="15" spans="1:5" ht="31.5" customHeight="1" x14ac:dyDescent="0.6">
      <c r="A15" t="s">
        <v>31</v>
      </c>
      <c r="B15" s="22" t="s">
        <v>32</v>
      </c>
    </row>
    <row r="16" spans="1:5" ht="31.5" customHeight="1" x14ac:dyDescent="0.7">
      <c r="A16" t="s">
        <v>33</v>
      </c>
      <c r="B16" s="10" t="s">
        <v>34</v>
      </c>
    </row>
    <row r="17" spans="1:2" ht="31.5" customHeight="1" x14ac:dyDescent="0.6">
      <c r="A17" t="s">
        <v>35</v>
      </c>
      <c r="B17" s="23" t="s">
        <v>36</v>
      </c>
    </row>
    <row r="18" spans="1:2" x14ac:dyDescent="0.35">
      <c r="A18" t="s">
        <v>37</v>
      </c>
      <c r="B18">
        <v>-44351.35</v>
      </c>
    </row>
    <row r="19" spans="1:2" x14ac:dyDescent="0.35">
      <c r="A19" t="s">
        <v>38</v>
      </c>
      <c r="B19">
        <v>-4.7</v>
      </c>
    </row>
    <row r="20" spans="1:2" x14ac:dyDescent="0.35">
      <c r="A20" t="s">
        <v>39</v>
      </c>
      <c r="B20">
        <v>37.283333333333331</v>
      </c>
    </row>
    <row r="21" spans="1:2" x14ac:dyDescent="0.35">
      <c r="A21" t="s">
        <v>40</v>
      </c>
      <c r="B21">
        <v>1668052.166666667</v>
      </c>
    </row>
    <row r="22" spans="1:2" x14ac:dyDescent="0.35">
      <c r="A22" t="s">
        <v>41</v>
      </c>
      <c r="B22">
        <v>-397902</v>
      </c>
    </row>
    <row r="23" spans="1:2" x14ac:dyDescent="0.35">
      <c r="A23" t="s">
        <v>42</v>
      </c>
      <c r="B23">
        <v>20</v>
      </c>
    </row>
    <row r="24" spans="1:2" x14ac:dyDescent="0.35">
      <c r="A24" t="s">
        <v>43</v>
      </c>
      <c r="B24">
        <v>61</v>
      </c>
    </row>
    <row r="25" spans="1:2" x14ac:dyDescent="0.35">
      <c r="A25" t="s">
        <v>44</v>
      </c>
      <c r="B25">
        <v>2067995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2:P15"/>
  <sheetViews>
    <sheetView showGridLines="0" topLeftCell="F1" workbookViewId="0">
      <selection activeCell="Q7" sqref="Q7"/>
    </sheetView>
  </sheetViews>
  <sheetFormatPr defaultRowHeight="14.5" x14ac:dyDescent="0.35"/>
  <cols>
    <col min="14" max="14" width="11.26953125" customWidth="1"/>
    <col min="16" max="16" width="36.26953125" customWidth="1"/>
  </cols>
  <sheetData>
    <row r="2" spans="1:16" x14ac:dyDescent="0.35">
      <c r="A2" t="s">
        <v>45</v>
      </c>
      <c r="B2" t="s">
        <v>46</v>
      </c>
      <c r="C2" t="s">
        <v>47</v>
      </c>
      <c r="D2" t="s">
        <v>48</v>
      </c>
      <c r="E2" t="s">
        <v>49</v>
      </c>
      <c r="F2" t="s">
        <v>50</v>
      </c>
      <c r="G2" t="s">
        <v>51</v>
      </c>
      <c r="H2" t="s">
        <v>52</v>
      </c>
      <c r="I2" t="s">
        <v>53</v>
      </c>
      <c r="J2" t="s">
        <v>54</v>
      </c>
      <c r="N2" t="s">
        <v>55</v>
      </c>
    </row>
    <row r="3" spans="1:16" x14ac:dyDescent="0.35">
      <c r="A3">
        <v>-99999</v>
      </c>
      <c r="B3">
        <v>-180</v>
      </c>
      <c r="C3">
        <v>-50089.5</v>
      </c>
      <c r="D3">
        <v>475</v>
      </c>
      <c r="E3">
        <v>479</v>
      </c>
      <c r="F3">
        <v>0</v>
      </c>
      <c r="G3">
        <v>82.631132195730927</v>
      </c>
      <c r="H3">
        <v>14.35</v>
      </c>
      <c r="I3">
        <v>582.64906909597767</v>
      </c>
      <c r="J3">
        <v>38</v>
      </c>
      <c r="N3" s="21">
        <f>B3</f>
        <v>-180</v>
      </c>
    </row>
    <row r="4" spans="1:16" x14ac:dyDescent="0.35">
      <c r="A4">
        <v>-180</v>
      </c>
      <c r="B4">
        <v>-120</v>
      </c>
      <c r="C4">
        <v>-150</v>
      </c>
      <c r="D4">
        <v>379</v>
      </c>
      <c r="E4">
        <v>85</v>
      </c>
      <c r="F4">
        <v>0</v>
      </c>
      <c r="G4">
        <v>82.631132195730927</v>
      </c>
      <c r="H4">
        <v>14.35</v>
      </c>
      <c r="I4">
        <v>582.64906909597767</v>
      </c>
      <c r="J4">
        <v>38</v>
      </c>
      <c r="N4" s="21" t="str">
        <f>B4 &amp; " to " &amp; A4</f>
        <v>-120 to -180</v>
      </c>
    </row>
    <row r="5" spans="1:16" x14ac:dyDescent="0.35">
      <c r="A5">
        <v>-120</v>
      </c>
      <c r="B5">
        <v>-60</v>
      </c>
      <c r="C5">
        <v>-90</v>
      </c>
      <c r="D5">
        <v>1534</v>
      </c>
      <c r="E5">
        <v>104</v>
      </c>
      <c r="F5">
        <v>0</v>
      </c>
      <c r="G5">
        <v>82.631132195730927</v>
      </c>
      <c r="H5">
        <v>14.35</v>
      </c>
      <c r="I5">
        <v>582.64906909597767</v>
      </c>
      <c r="J5">
        <v>38</v>
      </c>
      <c r="N5" s="21" t="str">
        <f>B5 &amp; " to " &amp; A5</f>
        <v>-60 to -120</v>
      </c>
    </row>
    <row r="6" spans="1:16" x14ac:dyDescent="0.35">
      <c r="A6">
        <v>-60</v>
      </c>
      <c r="B6">
        <v>-30</v>
      </c>
      <c r="C6">
        <v>-45</v>
      </c>
      <c r="D6">
        <v>4116</v>
      </c>
      <c r="E6">
        <v>129</v>
      </c>
      <c r="F6">
        <v>0</v>
      </c>
      <c r="G6">
        <v>82.631132195730927</v>
      </c>
      <c r="H6">
        <v>14.35</v>
      </c>
      <c r="I6">
        <v>582.64906909597767</v>
      </c>
      <c r="J6">
        <v>38</v>
      </c>
      <c r="N6" s="21" t="str">
        <f>B6 &amp; " to " &amp; A6</f>
        <v>-30 to -60</v>
      </c>
    </row>
    <row r="7" spans="1:16" x14ac:dyDescent="0.35">
      <c r="A7">
        <v>-30</v>
      </c>
      <c r="B7">
        <v>0</v>
      </c>
      <c r="C7">
        <v>-15</v>
      </c>
      <c r="D7">
        <v>16473</v>
      </c>
      <c r="E7">
        <v>1494</v>
      </c>
      <c r="F7">
        <v>0</v>
      </c>
      <c r="G7">
        <v>82.631132195730927</v>
      </c>
      <c r="H7">
        <v>14.35</v>
      </c>
      <c r="I7">
        <v>582.64906909597767</v>
      </c>
      <c r="J7">
        <v>38</v>
      </c>
      <c r="N7" s="21" t="str">
        <f>B7 &amp; " to " &amp; A7</f>
        <v>0 to -30</v>
      </c>
    </row>
    <row r="8" spans="1:16" x14ac:dyDescent="0.35">
      <c r="A8">
        <v>0</v>
      </c>
      <c r="B8">
        <v>30</v>
      </c>
      <c r="C8">
        <v>15</v>
      </c>
      <c r="D8">
        <v>28799</v>
      </c>
      <c r="E8">
        <v>12926</v>
      </c>
      <c r="F8">
        <v>0</v>
      </c>
      <c r="G8">
        <v>82.631132195730927</v>
      </c>
      <c r="H8">
        <v>14.35</v>
      </c>
      <c r="I8">
        <v>582.64906909597767</v>
      </c>
      <c r="J8">
        <v>38</v>
      </c>
      <c r="N8" s="21" t="str">
        <f>A8 &amp; " to " &amp; B8</f>
        <v>0 to 30</v>
      </c>
    </row>
    <row r="9" spans="1:16" x14ac:dyDescent="0.35">
      <c r="A9">
        <v>30</v>
      </c>
      <c r="B9">
        <v>60</v>
      </c>
      <c r="C9">
        <v>45</v>
      </c>
      <c r="D9">
        <v>14910</v>
      </c>
      <c r="E9">
        <v>14345</v>
      </c>
      <c r="F9">
        <v>0</v>
      </c>
      <c r="G9">
        <v>82.631132195730927</v>
      </c>
      <c r="H9">
        <v>14.35</v>
      </c>
      <c r="I9">
        <v>582.64906909597767</v>
      </c>
      <c r="J9">
        <v>38</v>
      </c>
      <c r="N9" s="21" t="str">
        <f>A9 &amp; " to " &amp; B9</f>
        <v>30 to 60</v>
      </c>
    </row>
    <row r="10" spans="1:16" x14ac:dyDescent="0.35">
      <c r="A10">
        <v>60</v>
      </c>
      <c r="B10">
        <v>120</v>
      </c>
      <c r="C10">
        <v>90</v>
      </c>
      <c r="D10">
        <v>7073</v>
      </c>
      <c r="E10">
        <v>7601</v>
      </c>
      <c r="F10">
        <v>0</v>
      </c>
      <c r="G10">
        <v>82.631132195730927</v>
      </c>
      <c r="H10">
        <v>14.35</v>
      </c>
      <c r="I10">
        <v>582.64906909597767</v>
      </c>
      <c r="J10">
        <v>38</v>
      </c>
      <c r="N10" s="21" t="str">
        <f>A10 &amp; " to " &amp; B10</f>
        <v>60 to 120</v>
      </c>
    </row>
    <row r="11" spans="1:16" x14ac:dyDescent="0.35">
      <c r="A11">
        <v>120</v>
      </c>
      <c r="B11">
        <v>180</v>
      </c>
      <c r="C11">
        <v>150</v>
      </c>
      <c r="D11">
        <v>1029</v>
      </c>
      <c r="E11">
        <v>1165</v>
      </c>
      <c r="F11">
        <v>0</v>
      </c>
      <c r="G11">
        <v>82.631132195730927</v>
      </c>
      <c r="H11">
        <v>14.35</v>
      </c>
      <c r="I11">
        <v>582.64906909597767</v>
      </c>
      <c r="J11">
        <v>38</v>
      </c>
      <c r="N11" s="21" t="str">
        <f>A11 &amp; " to " &amp; B11</f>
        <v>120 to 180</v>
      </c>
    </row>
    <row r="12" spans="1:16" x14ac:dyDescent="0.35">
      <c r="A12">
        <v>180</v>
      </c>
      <c r="B12">
        <v>99999</v>
      </c>
      <c r="C12">
        <v>50089.5</v>
      </c>
      <c r="D12">
        <v>1041</v>
      </c>
      <c r="E12">
        <v>1818</v>
      </c>
      <c r="F12">
        <v>0</v>
      </c>
      <c r="G12">
        <v>82.631132195730927</v>
      </c>
      <c r="H12">
        <v>14.35</v>
      </c>
      <c r="I12">
        <v>582.64906909597767</v>
      </c>
      <c r="J12">
        <v>38</v>
      </c>
      <c r="N12" s="21" t="str">
        <f>A12 &amp; "+"</f>
        <v>180+</v>
      </c>
    </row>
    <row r="14" spans="1:16" ht="61" customHeight="1" x14ac:dyDescent="0.35">
      <c r="P14" s="27" t="str">
        <f>"The majority of fastpark users will check-in "&amp; TEXT(ABS(H3), 0) &amp; " minutes " &amp; IF(H3 &lt;0, " earlier ", "later ") &amp; "than their booked entry time" &amp; " &amp; check-out " &amp; TEXT(ABS(J3), 0) &amp; " minutes " &amp; IF(J3 &lt;0, " earlier ", "later ") &amp; "than their booked exit time"</f>
        <v>The majority of fastpark users will check-in 14 minutes later than their booked entry time &amp; check-out 38 minutes later than their booked exit time</v>
      </c>
    </row>
    <row r="15" spans="1:16" ht="29.15" customHeight="1" x14ac:dyDescent="0.35">
      <c r="P15" s="26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2:C18"/>
  <sheetViews>
    <sheetView showGridLines="0" workbookViewId="0">
      <selection activeCell="H9" sqref="H9"/>
    </sheetView>
  </sheetViews>
  <sheetFormatPr defaultRowHeight="14.5" x14ac:dyDescent="0.35"/>
  <cols>
    <col min="1" max="1" width="17.7265625" customWidth="1"/>
    <col min="2" max="2" width="14.1796875" customWidth="1"/>
    <col min="3" max="3" width="13.7265625" customWidth="1"/>
  </cols>
  <sheetData>
    <row r="2" spans="1:3" x14ac:dyDescent="0.35">
      <c r="A2" t="s">
        <v>56</v>
      </c>
      <c r="B2" t="s">
        <v>57</v>
      </c>
      <c r="C2" t="s">
        <v>58</v>
      </c>
    </row>
    <row r="3" spans="1:3" x14ac:dyDescent="0.35">
      <c r="A3" t="s">
        <v>59</v>
      </c>
      <c r="B3">
        <v>89.226342592592587</v>
      </c>
      <c r="C3" t="s">
        <v>60</v>
      </c>
    </row>
    <row r="4" spans="1:3" x14ac:dyDescent="0.35">
      <c r="A4" t="s">
        <v>61</v>
      </c>
      <c r="B4">
        <v>83.852326388888883</v>
      </c>
      <c r="C4" t="s">
        <v>60</v>
      </c>
    </row>
    <row r="5" spans="1:3" x14ac:dyDescent="0.35">
      <c r="A5" t="s">
        <v>62</v>
      </c>
      <c r="B5">
        <v>75.662997685185189</v>
      </c>
      <c r="C5" t="s">
        <v>60</v>
      </c>
    </row>
    <row r="6" spans="1:3" x14ac:dyDescent="0.35">
      <c r="A6" t="s">
        <v>63</v>
      </c>
      <c r="B6">
        <v>8.4953703703703701E-3</v>
      </c>
      <c r="C6" t="s">
        <v>64</v>
      </c>
    </row>
    <row r="7" spans="1:3" x14ac:dyDescent="0.35">
      <c r="A7" t="s">
        <v>65</v>
      </c>
      <c r="B7">
        <v>1.3032407407407409E-2</v>
      </c>
      <c r="C7" t="s">
        <v>64</v>
      </c>
    </row>
    <row r="8" spans="1:3" x14ac:dyDescent="0.35">
      <c r="A8" t="s">
        <v>66</v>
      </c>
      <c r="B8">
        <v>1.381944444444444E-2</v>
      </c>
      <c r="C8" t="s">
        <v>64</v>
      </c>
    </row>
    <row r="9" spans="1:3" ht="31.5" customHeight="1" x14ac:dyDescent="0.7">
      <c r="A9" t="s">
        <v>67</v>
      </c>
      <c r="B9" s="11">
        <v>7.388901963174205</v>
      </c>
      <c r="C9" t="s">
        <v>68</v>
      </c>
    </row>
    <row r="10" spans="1:3" x14ac:dyDescent="0.35">
      <c r="A10" t="s">
        <v>69</v>
      </c>
      <c r="B10">
        <v>805</v>
      </c>
      <c r="C10" t="s">
        <v>70</v>
      </c>
    </row>
    <row r="11" spans="1:3" x14ac:dyDescent="0.35">
      <c r="A11" t="s">
        <v>71</v>
      </c>
      <c r="B11">
        <v>1610</v>
      </c>
      <c r="C11" t="s">
        <v>70</v>
      </c>
    </row>
    <row r="12" spans="1:3" x14ac:dyDescent="0.35">
      <c r="A12" t="s">
        <v>72</v>
      </c>
      <c r="B12">
        <v>14594</v>
      </c>
      <c r="C12" t="s">
        <v>70</v>
      </c>
    </row>
    <row r="13" spans="1:3" x14ac:dyDescent="0.35">
      <c r="A13" t="s">
        <v>73</v>
      </c>
      <c r="B13">
        <v>13746</v>
      </c>
      <c r="C13" t="s">
        <v>70</v>
      </c>
    </row>
    <row r="14" spans="1:3" x14ac:dyDescent="0.35">
      <c r="A14" t="s">
        <v>74</v>
      </c>
      <c r="B14">
        <v>3040</v>
      </c>
      <c r="C14" t="s">
        <v>70</v>
      </c>
    </row>
    <row r="15" spans="1:3" x14ac:dyDescent="0.35">
      <c r="A15" t="s">
        <v>75</v>
      </c>
      <c r="B15">
        <v>2417</v>
      </c>
      <c r="C15" t="s">
        <v>70</v>
      </c>
    </row>
    <row r="16" spans="1:3" x14ac:dyDescent="0.35">
      <c r="A16" t="s">
        <v>76</v>
      </c>
      <c r="B16">
        <v>646</v>
      </c>
      <c r="C16" t="s">
        <v>70</v>
      </c>
    </row>
    <row r="17" spans="1:3" x14ac:dyDescent="0.35">
      <c r="A17" t="s">
        <v>77</v>
      </c>
      <c r="B17">
        <v>164</v>
      </c>
      <c r="C17" t="s">
        <v>70</v>
      </c>
    </row>
    <row r="18" spans="1:3" x14ac:dyDescent="0.35">
      <c r="A18" t="s">
        <v>78</v>
      </c>
      <c r="B18">
        <v>13</v>
      </c>
      <c r="C18" t="s">
        <v>70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2:E39"/>
  <sheetViews>
    <sheetView showGridLines="0" topLeftCell="A26" workbookViewId="0">
      <selection activeCell="F16" sqref="F16:I16"/>
    </sheetView>
  </sheetViews>
  <sheetFormatPr defaultRowHeight="14.5" x14ac:dyDescent="0.35"/>
  <cols>
    <col min="2" max="3" width="18" customWidth="1"/>
    <col min="6" max="6" width="51" customWidth="1"/>
  </cols>
  <sheetData>
    <row r="2" spans="1:5" x14ac:dyDescent="0.35">
      <c r="A2" t="s">
        <v>79</v>
      </c>
      <c r="B2" t="s">
        <v>80</v>
      </c>
      <c r="C2" t="s">
        <v>1</v>
      </c>
      <c r="D2" t="s">
        <v>81</v>
      </c>
    </row>
    <row r="3" spans="1:5" ht="18.75" customHeight="1" x14ac:dyDescent="0.45">
      <c r="A3" t="s">
        <v>82</v>
      </c>
      <c r="B3" s="15" t="s">
        <v>83</v>
      </c>
      <c r="C3">
        <v>7592</v>
      </c>
      <c r="D3">
        <v>18.889331210191081</v>
      </c>
      <c r="E3" s="18" t="str">
        <f>TEXT(D3, 0) &amp; "%"</f>
        <v>19%</v>
      </c>
    </row>
    <row r="4" spans="1:5" ht="18.75" customHeight="1" x14ac:dyDescent="0.45">
      <c r="A4" t="s">
        <v>82</v>
      </c>
      <c r="B4" s="17" t="s">
        <v>84</v>
      </c>
      <c r="C4">
        <v>7590</v>
      </c>
      <c r="D4">
        <v>18.884355095541402</v>
      </c>
      <c r="E4" s="19" t="str">
        <f>TEXT(D4, 0) &amp; "%"</f>
        <v>19%</v>
      </c>
    </row>
    <row r="5" spans="1:5" ht="18.75" customHeight="1" x14ac:dyDescent="0.45">
      <c r="A5" t="s">
        <v>82</v>
      </c>
      <c r="B5" s="16" t="s">
        <v>85</v>
      </c>
      <c r="C5">
        <v>7427</v>
      </c>
      <c r="D5">
        <v>18.478801751592361</v>
      </c>
      <c r="E5" s="20" t="str">
        <f>TEXT(D5, 0) &amp; "%"</f>
        <v>18%</v>
      </c>
    </row>
    <row r="6" spans="1:5" x14ac:dyDescent="0.35">
      <c r="A6" t="s">
        <v>82</v>
      </c>
      <c r="B6" t="s">
        <v>86</v>
      </c>
      <c r="C6">
        <v>3106</v>
      </c>
      <c r="D6">
        <v>7.7279060509554149</v>
      </c>
    </row>
    <row r="7" spans="1:5" x14ac:dyDescent="0.35">
      <c r="A7" t="s">
        <v>82</v>
      </c>
      <c r="B7" t="s">
        <v>87</v>
      </c>
      <c r="C7">
        <v>936</v>
      </c>
      <c r="D7">
        <v>2.3288216560509549</v>
      </c>
    </row>
    <row r="8" spans="1:5" x14ac:dyDescent="0.35">
      <c r="A8" t="s">
        <v>82</v>
      </c>
      <c r="B8" t="s">
        <v>88</v>
      </c>
      <c r="C8">
        <v>908</v>
      </c>
      <c r="D8">
        <v>2.2591560509554141</v>
      </c>
    </row>
    <row r="9" spans="1:5" x14ac:dyDescent="0.35">
      <c r="A9" t="s">
        <v>82</v>
      </c>
      <c r="B9" t="s">
        <v>89</v>
      </c>
      <c r="C9">
        <v>771</v>
      </c>
      <c r="D9">
        <v>1.9182921974522289</v>
      </c>
    </row>
    <row r="10" spans="1:5" x14ac:dyDescent="0.35">
      <c r="A10" t="s">
        <v>82</v>
      </c>
      <c r="B10" t="s">
        <v>90</v>
      </c>
      <c r="C10">
        <v>770</v>
      </c>
      <c r="D10">
        <v>1.9158041401273891</v>
      </c>
    </row>
    <row r="11" spans="1:5" x14ac:dyDescent="0.35">
      <c r="A11" t="s">
        <v>82</v>
      </c>
      <c r="B11" t="s">
        <v>91</v>
      </c>
      <c r="C11">
        <v>513</v>
      </c>
      <c r="D11">
        <v>1.276373407643312</v>
      </c>
    </row>
    <row r="12" spans="1:5" x14ac:dyDescent="0.35">
      <c r="A12" t="s">
        <v>82</v>
      </c>
      <c r="B12" t="s">
        <v>92</v>
      </c>
      <c r="C12">
        <v>421</v>
      </c>
      <c r="D12">
        <v>1.047472133757962</v>
      </c>
    </row>
    <row r="13" spans="1:5" x14ac:dyDescent="0.35">
      <c r="A13" t="s">
        <v>82</v>
      </c>
      <c r="B13" t="s">
        <v>93</v>
      </c>
      <c r="C13">
        <v>393</v>
      </c>
      <c r="D13">
        <v>0.97780652866242046</v>
      </c>
    </row>
    <row r="14" spans="1:5" x14ac:dyDescent="0.35">
      <c r="A14" t="s">
        <v>82</v>
      </c>
      <c r="B14" t="s">
        <v>94</v>
      </c>
      <c r="C14">
        <v>349</v>
      </c>
      <c r="D14">
        <v>0.86833200636942687</v>
      </c>
    </row>
    <row r="15" spans="1:5" x14ac:dyDescent="0.35">
      <c r="A15" t="s">
        <v>82</v>
      </c>
      <c r="B15" t="s">
        <v>95</v>
      </c>
      <c r="C15">
        <v>342</v>
      </c>
      <c r="D15">
        <v>0.85091560509554143</v>
      </c>
    </row>
    <row r="16" spans="1:5" x14ac:dyDescent="0.35">
      <c r="A16" t="s">
        <v>82</v>
      </c>
      <c r="B16" t="s">
        <v>96</v>
      </c>
      <c r="C16">
        <v>322</v>
      </c>
      <c r="D16">
        <v>0.80115445859872614</v>
      </c>
    </row>
    <row r="17" spans="1:4" x14ac:dyDescent="0.35">
      <c r="A17" t="s">
        <v>82</v>
      </c>
      <c r="B17" t="s">
        <v>97</v>
      </c>
      <c r="C17">
        <v>266</v>
      </c>
      <c r="D17">
        <v>0.66182324840764339</v>
      </c>
    </row>
    <row r="18" spans="1:4" x14ac:dyDescent="0.35">
      <c r="A18" t="s">
        <v>82</v>
      </c>
      <c r="B18" t="s">
        <v>98</v>
      </c>
      <c r="C18">
        <v>176</v>
      </c>
      <c r="D18">
        <v>0.43789808917197448</v>
      </c>
    </row>
    <row r="19" spans="1:4" x14ac:dyDescent="0.35">
      <c r="A19" t="s">
        <v>82</v>
      </c>
      <c r="B19" t="s">
        <v>99</v>
      </c>
      <c r="C19">
        <v>124</v>
      </c>
      <c r="D19">
        <v>0.30851910828025481</v>
      </c>
    </row>
    <row r="20" spans="1:4" x14ac:dyDescent="0.35">
      <c r="A20" t="s">
        <v>82</v>
      </c>
      <c r="B20" t="s">
        <v>100</v>
      </c>
      <c r="C20">
        <v>105</v>
      </c>
      <c r="D20">
        <v>0.26124601910828021</v>
      </c>
    </row>
    <row r="21" spans="1:4" x14ac:dyDescent="0.35">
      <c r="A21" t="s">
        <v>82</v>
      </c>
      <c r="B21" t="s">
        <v>101</v>
      </c>
      <c r="C21">
        <v>99</v>
      </c>
      <c r="D21">
        <v>0.24631767515923569</v>
      </c>
    </row>
    <row r="22" spans="1:4" x14ac:dyDescent="0.35">
      <c r="A22" t="s">
        <v>82</v>
      </c>
      <c r="B22" t="s">
        <v>102</v>
      </c>
      <c r="C22">
        <v>73</v>
      </c>
      <c r="D22">
        <v>0.1816281847133758</v>
      </c>
    </row>
    <row r="23" spans="1:4" x14ac:dyDescent="0.35">
      <c r="A23" t="s">
        <v>82</v>
      </c>
      <c r="B23" t="s">
        <v>103</v>
      </c>
      <c r="C23">
        <v>71</v>
      </c>
      <c r="D23">
        <v>0.17665207006369429</v>
      </c>
    </row>
    <row r="24" spans="1:4" x14ac:dyDescent="0.35">
      <c r="A24" t="s">
        <v>82</v>
      </c>
      <c r="B24" t="s">
        <v>104</v>
      </c>
      <c r="C24">
        <v>65</v>
      </c>
      <c r="D24">
        <v>0.16172372611464969</v>
      </c>
    </row>
    <row r="25" spans="1:4" x14ac:dyDescent="0.35">
      <c r="A25" t="s">
        <v>82</v>
      </c>
      <c r="B25" t="s">
        <v>105</v>
      </c>
      <c r="C25">
        <v>62</v>
      </c>
      <c r="D25">
        <v>0.1542595541401274</v>
      </c>
    </row>
    <row r="26" spans="1:4" x14ac:dyDescent="0.35">
      <c r="A26" t="s">
        <v>82</v>
      </c>
      <c r="B26" t="s">
        <v>106</v>
      </c>
      <c r="C26">
        <v>42</v>
      </c>
      <c r="D26">
        <v>0.1044984076433121</v>
      </c>
    </row>
    <row r="27" spans="1:4" x14ac:dyDescent="0.35">
      <c r="A27" t="s">
        <v>82</v>
      </c>
      <c r="B27" t="s">
        <v>107</v>
      </c>
      <c r="C27">
        <v>36</v>
      </c>
      <c r="D27">
        <v>8.9570063694267524E-2</v>
      </c>
    </row>
    <row r="28" spans="1:4" x14ac:dyDescent="0.35">
      <c r="A28" t="s">
        <v>82</v>
      </c>
      <c r="B28" t="s">
        <v>108</v>
      </c>
      <c r="C28">
        <v>31</v>
      </c>
      <c r="D28">
        <v>7.7129777070063701E-2</v>
      </c>
    </row>
    <row r="29" spans="1:4" x14ac:dyDescent="0.35">
      <c r="A29" t="s">
        <v>82</v>
      </c>
      <c r="B29" t="s">
        <v>109</v>
      </c>
      <c r="C29">
        <v>28</v>
      </c>
      <c r="D29">
        <v>6.96656050955414E-2</v>
      </c>
    </row>
    <row r="30" spans="1:4" x14ac:dyDescent="0.35">
      <c r="A30" t="s">
        <v>82</v>
      </c>
      <c r="B30" t="s">
        <v>110</v>
      </c>
      <c r="C30">
        <v>16</v>
      </c>
      <c r="D30">
        <v>3.9808917197452227E-2</v>
      </c>
    </row>
    <row r="31" spans="1:4" x14ac:dyDescent="0.35">
      <c r="A31" t="s">
        <v>82</v>
      </c>
      <c r="B31" t="s">
        <v>111</v>
      </c>
      <c r="C31">
        <v>11</v>
      </c>
      <c r="D31">
        <v>2.7368630573248409E-2</v>
      </c>
    </row>
    <row r="32" spans="1:4" x14ac:dyDescent="0.35">
      <c r="A32" t="s">
        <v>82</v>
      </c>
      <c r="B32" t="s">
        <v>112</v>
      </c>
      <c r="C32">
        <v>11</v>
      </c>
      <c r="D32">
        <v>2.7368630573248409E-2</v>
      </c>
    </row>
    <row r="33" spans="1:4" x14ac:dyDescent="0.35">
      <c r="A33" t="s">
        <v>82</v>
      </c>
      <c r="B33" t="s">
        <v>113</v>
      </c>
      <c r="C33">
        <v>3</v>
      </c>
      <c r="D33">
        <v>7.4641719745222931E-3</v>
      </c>
    </row>
    <row r="34" spans="1:4" x14ac:dyDescent="0.35">
      <c r="A34" t="s">
        <v>82</v>
      </c>
      <c r="B34" t="s">
        <v>114</v>
      </c>
      <c r="C34">
        <v>2</v>
      </c>
      <c r="D34">
        <v>4.9761146496815293E-3</v>
      </c>
    </row>
    <row r="35" spans="1:4" x14ac:dyDescent="0.35">
      <c r="A35" t="s">
        <v>82</v>
      </c>
      <c r="B35" t="s">
        <v>115</v>
      </c>
      <c r="C35">
        <v>1</v>
      </c>
      <c r="D35">
        <v>2.4880573248407651E-3</v>
      </c>
    </row>
    <row r="36" spans="1:4" x14ac:dyDescent="0.35">
      <c r="A36" t="s">
        <v>82</v>
      </c>
      <c r="B36" t="s">
        <v>116</v>
      </c>
      <c r="C36">
        <v>1</v>
      </c>
      <c r="D36">
        <v>2.4880573248407651E-3</v>
      </c>
    </row>
    <row r="37" spans="1:4" x14ac:dyDescent="0.35">
      <c r="A37" t="s">
        <v>117</v>
      </c>
      <c r="B37" t="s">
        <v>118</v>
      </c>
      <c r="C37">
        <v>26981</v>
      </c>
      <c r="D37">
        <v>67.130274681528661</v>
      </c>
    </row>
    <row r="38" spans="1:4" x14ac:dyDescent="0.35">
      <c r="A38" t="s">
        <v>117</v>
      </c>
      <c r="B38" t="s">
        <v>119</v>
      </c>
      <c r="C38">
        <v>4993</v>
      </c>
      <c r="D38">
        <v>12.422870222929941</v>
      </c>
    </row>
    <row r="39" spans="1:4" x14ac:dyDescent="0.35">
      <c r="A39" t="s">
        <v>117</v>
      </c>
      <c r="B39" t="s">
        <v>120</v>
      </c>
      <c r="C39">
        <v>689</v>
      </c>
      <c r="D39">
        <v>1.714271496815287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2:E8"/>
  <sheetViews>
    <sheetView showGridLines="0" tabSelected="1" workbookViewId="0">
      <selection activeCell="E19" sqref="E19"/>
    </sheetView>
  </sheetViews>
  <sheetFormatPr defaultRowHeight="14.5" x14ac:dyDescent="0.35"/>
  <cols>
    <col min="1" max="1" width="10.1796875" customWidth="1"/>
    <col min="2" max="2" width="14.1796875" customWidth="1"/>
    <col min="3" max="3" width="19.7265625" customWidth="1"/>
    <col min="4" max="4" width="9.1796875" customWidth="1"/>
    <col min="5" max="5" width="60" customWidth="1"/>
  </cols>
  <sheetData>
    <row r="2" spans="1:5" ht="15.75" customHeight="1" thickBot="1" x14ac:dyDescent="0.4">
      <c r="A2" t="s">
        <v>0</v>
      </c>
      <c r="B2" t="s">
        <v>1</v>
      </c>
      <c r="C2" t="s">
        <v>2</v>
      </c>
      <c r="D2" t="s">
        <v>3</v>
      </c>
    </row>
    <row r="3" spans="1:5" ht="25" customHeight="1" thickTop="1" thickBot="1" x14ac:dyDescent="0.65">
      <c r="A3" s="14">
        <v>2026</v>
      </c>
      <c r="B3" s="24">
        <v>40192</v>
      </c>
    </row>
    <row r="4" spans="1:5" ht="25" customHeight="1" thickTop="1" thickBot="1" x14ac:dyDescent="0.6">
      <c r="A4" s="14">
        <v>2025</v>
      </c>
      <c r="B4" s="25">
        <v>38428</v>
      </c>
      <c r="C4">
        <v>1764</v>
      </c>
      <c r="D4">
        <v>4.5904028312688663</v>
      </c>
    </row>
    <row r="5" spans="1:5" ht="25" customHeight="1" thickTop="1" thickBot="1" x14ac:dyDescent="0.55000000000000004">
      <c r="A5" s="14">
        <v>2024</v>
      </c>
      <c r="B5" s="13">
        <v>36507</v>
      </c>
      <c r="C5">
        <v>3685</v>
      </c>
      <c r="D5">
        <v>10.093954584052369</v>
      </c>
    </row>
    <row r="6" spans="1:5" ht="15.75" customHeight="1" thickTop="1" x14ac:dyDescent="0.35">
      <c r="A6">
        <v>2023</v>
      </c>
      <c r="B6" s="12">
        <v>19394</v>
      </c>
      <c r="C6">
        <v>20798</v>
      </c>
      <c r="D6">
        <v>107.23935237702381</v>
      </c>
    </row>
    <row r="8" spans="1:5" ht="33" customHeight="1" x14ac:dyDescent="0.35">
      <c r="E8" s="28" t="str">
        <f>"FastPark Transactions " &amp; IF(D4&gt;=0, "grew by ", " decreased by ") &amp; TEXT(ABS(D4/100), "0.00%") &amp; " for the same period between " &amp; TEXT(A4, 0) &amp; " and " &amp; TEXT(A3, 0)</f>
        <v>FastPark Transactions grew by 4.59% for the same period between 2025 and 2026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workbookViewId="0">
      <selection activeCell="AA43" sqref="AA43"/>
    </sheetView>
  </sheetViews>
  <sheetFormatPr defaultRowHeight="14.5" x14ac:dyDescent="0.3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Monthly Movements</vt:lpstr>
      <vt:lpstr>Summary</vt:lpstr>
      <vt:lpstr>Entry Exit Distribution</vt:lpstr>
      <vt:lpstr>Length of Stay</vt:lpstr>
      <vt:lpstr>Flight Info</vt:lpstr>
      <vt:lpstr>Transaction Growth</vt:lpstr>
      <vt:lpstr>Charts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Jamie Douglas</cp:lastModifiedBy>
  <dcterms:created xsi:type="dcterms:W3CDTF">2026-03-11T13:22:11Z</dcterms:created>
  <dcterms:modified xsi:type="dcterms:W3CDTF">2026-04-30T09:13:29Z</dcterms:modified>
</cp:coreProperties>
</file>