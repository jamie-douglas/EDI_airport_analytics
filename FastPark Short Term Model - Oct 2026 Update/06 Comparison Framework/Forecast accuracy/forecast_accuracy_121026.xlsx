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onyx4.sharepoint.com/sites/SF-BusinessPlanning/Shared Documents/02. Capacity Areas/09. Car Parking/01. FastPark/FastPark Model Rebuild 2025/FastPark Short-Term Model Rebuild/Forecast accuracy/"/>
    </mc:Choice>
  </mc:AlternateContent>
  <xr:revisionPtr revIDLastSave="33" documentId="13_ncr:1_{2167B7FA-0570-48C9-8DC1-54075D6ADEB7}" xr6:coauthVersionLast="47" xr6:coauthVersionMax="47" xr10:uidLastSave="{449D8C10-1A23-4D29-888A-3043F0B937FC}"/>
  <bookViews>
    <workbookView xWindow="-110" yWindow="-110" windowWidth="19420" windowHeight="11500" activeTab="1" xr2:uid="{00000000-000D-0000-FFFF-FFFF00000000}"/>
  </bookViews>
  <sheets>
    <sheet name="Forecast Accuracy" sheetId="1" r:id="rId1"/>
    <sheet name="Sheet1" sheetId="2" r:id="rId2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M32" i="1"/>
  <c r="N32" i="1"/>
  <c r="O32" i="1"/>
  <c r="K32" i="1"/>
  <c r="C32" i="1"/>
  <c r="D32" i="1"/>
  <c r="E32" i="1"/>
  <c r="F32" i="1"/>
  <c r="B32" i="1"/>
</calcChain>
</file>

<file path=xl/sharedStrings.xml><?xml version="1.0" encoding="utf-8"?>
<sst xmlns="http://schemas.openxmlformats.org/spreadsheetml/2006/main" count="48" uniqueCount="17">
  <si>
    <t>Entries Forecast</t>
  </si>
  <si>
    <t>21_days_out</t>
  </si>
  <si>
    <t>14_days_out</t>
  </si>
  <si>
    <t>7_days_out</t>
  </si>
  <si>
    <t>3_days_out</t>
  </si>
  <si>
    <t>1_days_out</t>
  </si>
  <si>
    <t>Exits Forecast</t>
  </si>
  <si>
    <t>Entries Actuals</t>
  </si>
  <si>
    <t>Exits Actuals</t>
  </si>
  <si>
    <t>Entries Accuracy</t>
  </si>
  <si>
    <t>Exits Accuracy</t>
  </si>
  <si>
    <t>Actuals</t>
  </si>
  <si>
    <t>21 Days out</t>
  </si>
  <si>
    <t>14 Days out</t>
  </si>
  <si>
    <t>7 Days out</t>
  </si>
  <si>
    <t>3 Days out</t>
  </si>
  <si>
    <t>1 Day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</si>
</sst>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409]d\-mmm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  <xf numFmtId="165" fontId="1" fillId="0" borderId="1" xfId="0" applyNumberFormat="1" applyFont="1" applyBorder="1" applyAlignment="1">
      <alignment horizontal="center" vertical="top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20E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Entries Accuracy</a:t>
            </a:r>
          </a:p>
        </c:rich>
      </c:tx>
      <c:layout>
        <c:manualLayout>
          <c:xMode val="edge"/>
          <c:yMode val="edge"/>
          <c:x val="0.34632969265938535"/>
          <c:y val="3.2884029512880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494870542256961E-2"/>
          <c:y val="9.5662223324446655E-2"/>
          <c:w val="0.96906966021139229"/>
          <c:h val="0.79863847727695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Actuals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Sheet1!$A$2:$A$8</c:f>
              <c:numCache>
                <c:formatCode>[$-409]d\-mmm;@</c:formatCode>
                <c:ptCount val="7"/>
                <c:pt idx="0">
                  <c:v>46314</c:v>
                </c:pt>
                <c:pt idx="1">
                  <c:v>46315</c:v>
                </c:pt>
                <c:pt idx="2">
                  <c:v>46316</c:v>
                </c:pt>
                <c:pt idx="3">
                  <c:v>46317</c:v>
                </c:pt>
                <c:pt idx="4">
                  <c:v>46318</c:v>
                </c:pt>
                <c:pt idx="5">
                  <c:v>46319</c:v>
                </c:pt>
                <c:pt idx="6">
                  <c:v>46320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0">
                  <c:v>546</c:v>
                </c:pt>
                <c:pt idx="1">
                  <c:v>409</c:v>
                </c:pt>
                <c:pt idx="2">
                  <c:v>489</c:v>
                </c:pt>
                <c:pt idx="3">
                  <c:v>439</c:v>
                </c:pt>
                <c:pt idx="4">
                  <c:v>515</c:v>
                </c:pt>
                <c:pt idx="5">
                  <c:v>620</c:v>
                </c:pt>
                <c:pt idx="6">
                  <c:v>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5-436E-BDD2-0FF6E2A93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8327312"/>
        <c:axId val="1953938080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21 Days out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Sheet1!$A$2:$A$8</c:f>
              <c:numCache>
                <c:formatCode>[$-409]d\-mmm;@</c:formatCode>
                <c:ptCount val="7"/>
                <c:pt idx="0">
                  <c:v>46314</c:v>
                </c:pt>
                <c:pt idx="1">
                  <c:v>46315</c:v>
                </c:pt>
                <c:pt idx="2">
                  <c:v>46316</c:v>
                </c:pt>
                <c:pt idx="3">
                  <c:v>46317</c:v>
                </c:pt>
                <c:pt idx="4">
                  <c:v>46318</c:v>
                </c:pt>
                <c:pt idx="5">
                  <c:v>46319</c:v>
                </c:pt>
                <c:pt idx="6">
                  <c:v>46320</c:v>
                </c:pt>
              </c:numCache>
            </c:numRef>
          </c:cat>
          <c:val>
            <c:numRef>
              <c:f>Sheet1!$C$2:$C$8</c:f>
              <c:numCache>
                <c:formatCode>0</c:formatCode>
                <c:ptCount val="7"/>
                <c:pt idx="0">
                  <c:v>763</c:v>
                </c:pt>
                <c:pt idx="1">
                  <c:v>589</c:v>
                </c:pt>
                <c:pt idx="2">
                  <c:v>701</c:v>
                </c:pt>
                <c:pt idx="3">
                  <c:v>620</c:v>
                </c:pt>
                <c:pt idx="4">
                  <c:v>635</c:v>
                </c:pt>
                <c:pt idx="5">
                  <c:v>684</c:v>
                </c:pt>
                <c:pt idx="6">
                  <c:v>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B5-436E-BDD2-0FF6E2A93CAD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7 Days out</c:v>
                </c:pt>
              </c:strCache>
            </c:strRef>
          </c:tx>
          <c:spPr>
            <a:ln w="28575" cap="rnd">
              <a:solidFill>
                <a:srgbClr val="C20E9B"/>
              </a:solidFill>
              <a:round/>
            </a:ln>
            <a:effectLst/>
          </c:spPr>
          <c:marker>
            <c:symbol val="none"/>
          </c:marker>
          <c:cat>
            <c:numRef>
              <c:f>Sheet1!$A$2:$A$8</c:f>
              <c:numCache>
                <c:formatCode>[$-409]d\-mmm;@</c:formatCode>
                <c:ptCount val="7"/>
                <c:pt idx="0">
                  <c:v>46314</c:v>
                </c:pt>
                <c:pt idx="1">
                  <c:v>46315</c:v>
                </c:pt>
                <c:pt idx="2">
                  <c:v>46316</c:v>
                </c:pt>
                <c:pt idx="3">
                  <c:v>46317</c:v>
                </c:pt>
                <c:pt idx="4">
                  <c:v>46318</c:v>
                </c:pt>
                <c:pt idx="5">
                  <c:v>46319</c:v>
                </c:pt>
                <c:pt idx="6">
                  <c:v>46320</c:v>
                </c:pt>
              </c:numCache>
            </c:numRef>
          </c:cat>
          <c:val>
            <c:numRef>
              <c:f>Sheet1!$E$2:$E$8</c:f>
              <c:numCache>
                <c:formatCode>0</c:formatCode>
                <c:ptCount val="7"/>
                <c:pt idx="0">
                  <c:v>479</c:v>
                </c:pt>
                <c:pt idx="1">
                  <c:v>390</c:v>
                </c:pt>
                <c:pt idx="2">
                  <c:v>475</c:v>
                </c:pt>
                <c:pt idx="3">
                  <c:v>394</c:v>
                </c:pt>
                <c:pt idx="4">
                  <c:v>512</c:v>
                </c:pt>
                <c:pt idx="5">
                  <c:v>608</c:v>
                </c:pt>
                <c:pt idx="6">
                  <c:v>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B5-436E-BDD2-0FF6E2A93CAD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3 Days out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Sheet1!$A$2:$A$8</c:f>
              <c:numCache>
                <c:formatCode>[$-409]d\-mmm;@</c:formatCode>
                <c:ptCount val="7"/>
                <c:pt idx="0">
                  <c:v>46314</c:v>
                </c:pt>
                <c:pt idx="1">
                  <c:v>46315</c:v>
                </c:pt>
                <c:pt idx="2">
                  <c:v>46316</c:v>
                </c:pt>
                <c:pt idx="3">
                  <c:v>46317</c:v>
                </c:pt>
                <c:pt idx="4">
                  <c:v>46318</c:v>
                </c:pt>
                <c:pt idx="5">
                  <c:v>46319</c:v>
                </c:pt>
                <c:pt idx="6">
                  <c:v>46320</c:v>
                </c:pt>
              </c:numCache>
            </c:numRef>
          </c:cat>
          <c:val>
            <c:numRef>
              <c:f>Sheet1!$F$2:$F$8</c:f>
              <c:numCache>
                <c:formatCode>0</c:formatCode>
                <c:ptCount val="7"/>
                <c:pt idx="0">
                  <c:v>512</c:v>
                </c:pt>
                <c:pt idx="1">
                  <c:v>396</c:v>
                </c:pt>
                <c:pt idx="2">
                  <c:v>463</c:v>
                </c:pt>
                <c:pt idx="3">
                  <c:v>444.14806762882898</c:v>
                </c:pt>
                <c:pt idx="4">
                  <c:v>555.53896647234251</c:v>
                </c:pt>
                <c:pt idx="5">
                  <c:v>655.15396553963535</c:v>
                </c:pt>
                <c:pt idx="6">
                  <c:v>415.97809284487448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B5-436E-BDD2-0FF6E2A93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327312"/>
        <c:axId val="195393808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14 Days out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Sheet1!$A$2:$A$8</c15:sqref>
                        </c15:formulaRef>
                      </c:ext>
                    </c:extLst>
                    <c:numCache>
                      <c:formatCode>[$-409]d\-mmm;@</c:formatCode>
                      <c:ptCount val="7"/>
                      <c:pt idx="0">
                        <c:v>46314</c:v>
                      </c:pt>
                      <c:pt idx="1">
                        <c:v>46315</c:v>
                      </c:pt>
                      <c:pt idx="2">
                        <c:v>46316</c:v>
                      </c:pt>
                      <c:pt idx="3">
                        <c:v>46317</c:v>
                      </c:pt>
                      <c:pt idx="4">
                        <c:v>46318</c:v>
                      </c:pt>
                      <c:pt idx="5">
                        <c:v>46319</c:v>
                      </c:pt>
                      <c:pt idx="6">
                        <c:v>46320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Sheet1!$D$2:$D$8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431</c:v>
                      </c:pt>
                      <c:pt idx="1">
                        <c:v>359</c:v>
                      </c:pt>
                      <c:pt idx="2">
                        <c:v>429</c:v>
                      </c:pt>
                      <c:pt idx="3">
                        <c:v>362</c:v>
                      </c:pt>
                      <c:pt idx="4">
                        <c:v>496</c:v>
                      </c:pt>
                      <c:pt idx="5">
                        <c:v>587</c:v>
                      </c:pt>
                      <c:pt idx="6">
                        <c:v>320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5B5-436E-BDD2-0FF6E2A93CA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1 Day out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Sheet1!$A$2:$A$8</c15:sqref>
                        </c15:formulaRef>
                      </c:ext>
                    </c:extLst>
                    <c:numCache>
                      <c:formatCode>[$-409]d\-mmm;@</c:formatCode>
                      <c:ptCount val="7"/>
                      <c:pt idx="0">
                        <c:v>46314</c:v>
                      </c:pt>
                      <c:pt idx="1">
                        <c:v>46315</c:v>
                      </c:pt>
                      <c:pt idx="2">
                        <c:v>46316</c:v>
                      </c:pt>
                      <c:pt idx="3">
                        <c:v>46317</c:v>
                      </c:pt>
                      <c:pt idx="4">
                        <c:v>46318</c:v>
                      </c:pt>
                      <c:pt idx="5">
                        <c:v>46319</c:v>
                      </c:pt>
                      <c:pt idx="6">
                        <c:v>46320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Sheet1!$G$2:$G$8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522</c:v>
                      </c:pt>
                      <c:pt idx="1">
                        <c:v>403.49625474724581</c:v>
                      </c:pt>
                      <c:pt idx="2">
                        <c:v>492.98287277764388</c:v>
                      </c:pt>
                      <c:pt idx="3">
                        <c:v>442.57796020892488</c:v>
                      </c:pt>
                      <c:pt idx="4">
                        <c:v>538.67679230860563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5B5-436E-BDD2-0FF6E2A93CAD}"/>
                  </c:ext>
                </c:extLst>
              </c15:ser>
            </c15:filteredLineSeries>
          </c:ext>
        </c:extLst>
      </c:lineChart>
      <c:dateAx>
        <c:axId val="2088327312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38080"/>
        <c:crosses val="autoZero"/>
        <c:auto val="1"/>
        <c:lblOffset val="100"/>
        <c:baseTimeUnit val="days"/>
      </c:dateAx>
      <c:valAx>
        <c:axId val="1953938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8832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469700818189513"/>
          <c:y val="0.1063463131731566"/>
          <c:w val="0.65647513655387668"/>
          <c:h val="5.59705409958083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Exits Accuracy</a:t>
            </a:r>
          </a:p>
        </c:rich>
      </c:tx>
      <c:layout>
        <c:manualLayout>
          <c:xMode val="edge"/>
          <c:yMode val="edge"/>
          <c:x val="0.34632969265938535"/>
          <c:y val="3.2884029512880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946490559647787E-2"/>
          <c:y val="0.10342274015748031"/>
          <c:w val="0.96261806790280247"/>
          <c:h val="0.790877984251968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Actuals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Sheet1!$A$2:$A$8</c:f>
              <c:numCache>
                <c:formatCode>[$-409]d\-mmm;@</c:formatCode>
                <c:ptCount val="7"/>
                <c:pt idx="0">
                  <c:v>46314</c:v>
                </c:pt>
                <c:pt idx="1">
                  <c:v>46315</c:v>
                </c:pt>
                <c:pt idx="2">
                  <c:v>46316</c:v>
                </c:pt>
                <c:pt idx="3">
                  <c:v>46317</c:v>
                </c:pt>
                <c:pt idx="4">
                  <c:v>46318</c:v>
                </c:pt>
                <c:pt idx="5">
                  <c:v>46319</c:v>
                </c:pt>
                <c:pt idx="6">
                  <c:v>46320</c:v>
                </c:pt>
              </c:numCache>
            </c:numRef>
          </c:cat>
          <c:val>
            <c:numRef>
              <c:f>Sheet1!$O$2:$O$8</c:f>
              <c:numCache>
                <c:formatCode>General</c:formatCode>
                <c:ptCount val="7"/>
                <c:pt idx="0">
                  <c:v>775</c:v>
                </c:pt>
                <c:pt idx="1">
                  <c:v>759</c:v>
                </c:pt>
                <c:pt idx="2">
                  <c:v>589</c:v>
                </c:pt>
                <c:pt idx="3">
                  <c:v>776</c:v>
                </c:pt>
                <c:pt idx="4">
                  <c:v>658</c:v>
                </c:pt>
                <c:pt idx="5">
                  <c:v>651</c:v>
                </c:pt>
                <c:pt idx="6">
                  <c:v>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3-4B7F-B00F-81829AA20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8327312"/>
        <c:axId val="1953938080"/>
      </c:barChart>
      <c:lineChart>
        <c:grouping val="standard"/>
        <c:varyColors val="0"/>
        <c:ser>
          <c:idx val="1"/>
          <c:order val="1"/>
          <c:tx>
            <c:strRef>
              <c:f>Sheet1!$P$1</c:f>
              <c:strCache>
                <c:ptCount val="1"/>
                <c:pt idx="0">
                  <c:v>21 Days out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Sheet1!$A$2:$A$8</c:f>
              <c:numCache>
                <c:formatCode>[$-409]d\-mmm;@</c:formatCode>
                <c:ptCount val="7"/>
                <c:pt idx="0">
                  <c:v>46314</c:v>
                </c:pt>
                <c:pt idx="1">
                  <c:v>46315</c:v>
                </c:pt>
                <c:pt idx="2">
                  <c:v>46316</c:v>
                </c:pt>
                <c:pt idx="3">
                  <c:v>46317</c:v>
                </c:pt>
                <c:pt idx="4">
                  <c:v>46318</c:v>
                </c:pt>
                <c:pt idx="5">
                  <c:v>46319</c:v>
                </c:pt>
                <c:pt idx="6">
                  <c:v>46320</c:v>
                </c:pt>
              </c:numCache>
            </c:numRef>
          </c:cat>
          <c:val>
            <c:numRef>
              <c:f>Sheet1!$P$2:$P$8</c:f>
              <c:numCache>
                <c:formatCode>0</c:formatCode>
                <c:ptCount val="7"/>
                <c:pt idx="0">
                  <c:v>755</c:v>
                </c:pt>
                <c:pt idx="1">
                  <c:v>702</c:v>
                </c:pt>
                <c:pt idx="2">
                  <c:v>647</c:v>
                </c:pt>
                <c:pt idx="3">
                  <c:v>733</c:v>
                </c:pt>
                <c:pt idx="4">
                  <c:v>762</c:v>
                </c:pt>
                <c:pt idx="5">
                  <c:v>707</c:v>
                </c:pt>
                <c:pt idx="6">
                  <c:v>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A3-4B7F-B00F-81829AA2002D}"/>
            </c:ext>
          </c:extLst>
        </c:ser>
        <c:ser>
          <c:idx val="3"/>
          <c:order val="3"/>
          <c:tx>
            <c:strRef>
              <c:f>Sheet1!$R$1</c:f>
              <c:strCache>
                <c:ptCount val="1"/>
                <c:pt idx="0">
                  <c:v>7 Days out</c:v>
                </c:pt>
              </c:strCache>
            </c:strRef>
          </c:tx>
          <c:spPr>
            <a:ln w="28575" cap="rnd">
              <a:solidFill>
                <a:srgbClr val="C20E9B"/>
              </a:solidFill>
              <a:round/>
            </a:ln>
            <a:effectLst/>
          </c:spPr>
          <c:marker>
            <c:symbol val="none"/>
          </c:marker>
          <c:cat>
            <c:numRef>
              <c:f>Sheet1!$A$2:$A$8</c:f>
              <c:numCache>
                <c:formatCode>[$-409]d\-mmm;@</c:formatCode>
                <c:ptCount val="7"/>
                <c:pt idx="0">
                  <c:v>46314</c:v>
                </c:pt>
                <c:pt idx="1">
                  <c:v>46315</c:v>
                </c:pt>
                <c:pt idx="2">
                  <c:v>46316</c:v>
                </c:pt>
                <c:pt idx="3">
                  <c:v>46317</c:v>
                </c:pt>
                <c:pt idx="4">
                  <c:v>46318</c:v>
                </c:pt>
                <c:pt idx="5">
                  <c:v>46319</c:v>
                </c:pt>
                <c:pt idx="6">
                  <c:v>46320</c:v>
                </c:pt>
              </c:numCache>
            </c:numRef>
          </c:cat>
          <c:val>
            <c:numRef>
              <c:f>Sheet1!$R$2:$R$8</c:f>
              <c:numCache>
                <c:formatCode>0</c:formatCode>
                <c:ptCount val="7"/>
                <c:pt idx="0">
                  <c:v>752</c:v>
                </c:pt>
                <c:pt idx="1">
                  <c:v>735</c:v>
                </c:pt>
                <c:pt idx="2">
                  <c:v>594</c:v>
                </c:pt>
                <c:pt idx="3">
                  <c:v>777</c:v>
                </c:pt>
                <c:pt idx="4">
                  <c:v>676</c:v>
                </c:pt>
                <c:pt idx="5">
                  <c:v>736</c:v>
                </c:pt>
                <c:pt idx="6">
                  <c:v>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A3-4B7F-B00F-81829AA2002D}"/>
            </c:ext>
          </c:extLst>
        </c:ser>
        <c:ser>
          <c:idx val="4"/>
          <c:order val="4"/>
          <c:tx>
            <c:strRef>
              <c:f>Sheet1!$S$1</c:f>
              <c:strCache>
                <c:ptCount val="1"/>
                <c:pt idx="0">
                  <c:v>3 Days out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Sheet1!$A$2:$A$8</c:f>
              <c:numCache>
                <c:formatCode>[$-409]d\-mmm;@</c:formatCode>
                <c:ptCount val="7"/>
                <c:pt idx="0">
                  <c:v>46314</c:v>
                </c:pt>
                <c:pt idx="1">
                  <c:v>46315</c:v>
                </c:pt>
                <c:pt idx="2">
                  <c:v>46316</c:v>
                </c:pt>
                <c:pt idx="3">
                  <c:v>46317</c:v>
                </c:pt>
                <c:pt idx="4">
                  <c:v>46318</c:v>
                </c:pt>
                <c:pt idx="5">
                  <c:v>46319</c:v>
                </c:pt>
                <c:pt idx="6">
                  <c:v>46320</c:v>
                </c:pt>
              </c:numCache>
            </c:numRef>
          </c:cat>
          <c:val>
            <c:numRef>
              <c:f>Sheet1!$S$2:$S$8</c:f>
              <c:numCache>
                <c:formatCode>0</c:formatCode>
                <c:ptCount val="7"/>
                <c:pt idx="0">
                  <c:v>801</c:v>
                </c:pt>
                <c:pt idx="1">
                  <c:v>746</c:v>
                </c:pt>
                <c:pt idx="2">
                  <c:v>600</c:v>
                </c:pt>
                <c:pt idx="3">
                  <c:v>751.35230037530016</c:v>
                </c:pt>
                <c:pt idx="4">
                  <c:v>689.38749369029858</c:v>
                </c:pt>
                <c:pt idx="5">
                  <c:v>715.03163252573358</c:v>
                </c:pt>
                <c:pt idx="6">
                  <c:v>791.44407609608731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A3-4B7F-B00F-81829AA20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327312"/>
        <c:axId val="195393808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Sheet1!$Q$1</c15:sqref>
                        </c15:formulaRef>
                      </c:ext>
                    </c:extLst>
                    <c:strCache>
                      <c:ptCount val="1"/>
                      <c:pt idx="0">
                        <c:v>14 Days out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Sheet1!$A$2:$A$8</c15:sqref>
                        </c15:formulaRef>
                      </c:ext>
                    </c:extLst>
                    <c:numCache>
                      <c:formatCode>[$-409]d\-mmm;@</c:formatCode>
                      <c:ptCount val="7"/>
                      <c:pt idx="0">
                        <c:v>46314</c:v>
                      </c:pt>
                      <c:pt idx="1">
                        <c:v>46315</c:v>
                      </c:pt>
                      <c:pt idx="2">
                        <c:v>46316</c:v>
                      </c:pt>
                      <c:pt idx="3">
                        <c:v>46317</c:v>
                      </c:pt>
                      <c:pt idx="4">
                        <c:v>46318</c:v>
                      </c:pt>
                      <c:pt idx="5">
                        <c:v>46319</c:v>
                      </c:pt>
                      <c:pt idx="6">
                        <c:v>46320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Sheet1!$Q$2:$Q$8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640</c:v>
                      </c:pt>
                      <c:pt idx="1">
                        <c:v>629</c:v>
                      </c:pt>
                      <c:pt idx="2">
                        <c:v>511</c:v>
                      </c:pt>
                      <c:pt idx="3">
                        <c:v>671</c:v>
                      </c:pt>
                      <c:pt idx="4">
                        <c:v>591</c:v>
                      </c:pt>
                      <c:pt idx="5">
                        <c:v>633</c:v>
                      </c:pt>
                      <c:pt idx="6">
                        <c:v>715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5A3-4B7F-B00F-81829AA2002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Sheet1!$T$1</c15:sqref>
                        </c15:formulaRef>
                      </c:ext>
                    </c:extLst>
                    <c:strCache>
                      <c:ptCount val="1"/>
                      <c:pt idx="0">
                        <c:v>1 Day out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Sheet1!$A$2:$A$8</c15:sqref>
                        </c15:formulaRef>
                      </c:ext>
                    </c:extLst>
                    <c:numCache>
                      <c:formatCode>[$-409]d\-mmm;@</c:formatCode>
                      <c:ptCount val="7"/>
                      <c:pt idx="0">
                        <c:v>46314</c:v>
                      </c:pt>
                      <c:pt idx="1">
                        <c:v>46315</c:v>
                      </c:pt>
                      <c:pt idx="2">
                        <c:v>46316</c:v>
                      </c:pt>
                      <c:pt idx="3">
                        <c:v>46317</c:v>
                      </c:pt>
                      <c:pt idx="4">
                        <c:v>46318</c:v>
                      </c:pt>
                      <c:pt idx="5">
                        <c:v>46319</c:v>
                      </c:pt>
                      <c:pt idx="6">
                        <c:v>46320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Sheet1!$T$2:$T$8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790</c:v>
                      </c:pt>
                      <c:pt idx="1">
                        <c:v>702.46634048656563</c:v>
                      </c:pt>
                      <c:pt idx="2">
                        <c:v>579.78677119658664</c:v>
                      </c:pt>
                      <c:pt idx="3">
                        <c:v>758.27626331014335</c:v>
                      </c:pt>
                      <c:pt idx="4">
                        <c:v>697.1209702605446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5A3-4B7F-B00F-81829AA2002D}"/>
                  </c:ext>
                </c:extLst>
              </c15:ser>
            </c15:filteredLineSeries>
          </c:ext>
        </c:extLst>
      </c:lineChart>
      <c:dateAx>
        <c:axId val="2088327312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38080"/>
        <c:crosses val="autoZero"/>
        <c:auto val="1"/>
        <c:lblOffset val="100"/>
        <c:baseTimeUnit val="days"/>
      </c:dateAx>
      <c:valAx>
        <c:axId val="1953938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8832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469700818189513"/>
          <c:y val="0.1063463131731566"/>
          <c:w val="0.65647513655387668"/>
          <c:h val="5.59705409958083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923925</xdr:colOff>
      <xdr:row>16</xdr:row>
      <xdr:rowOff>139700</xdr:rowOff>
    </xdr:from>
    <xdr:to>
      <xdr:col>8</xdr:col>
      <xdr:colOff>409575</xdr:colOff>
      <xdr:row>37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5DCF96-F346-E228-5F55-AD9EC9062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588277</xdr:colOff>
      <xdr:row>16</xdr:row>
      <xdr:rowOff>98621</xdr:rowOff>
    </xdr:from>
    <xdr:to>
      <xdr:col>18</xdr:col>
      <xdr:colOff>442462</xdr:colOff>
      <xdr:row>38</xdr:row>
      <xdr:rowOff>16071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915A12-762B-4536-BC07-35D6F6AB7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opLeftCell="C1" workbookViewId="0">
      <selection activeCell="K2" sqref="K2:O8"/>
    </sheetView>
  </sheetViews>
  <sheetFormatPr defaultRowHeight="14.5" x14ac:dyDescent="0.35"/>
  <cols>
    <col min="1" max="1" width="19" customWidth="1"/>
    <col min="2" max="6" width="21" customWidth="1"/>
    <col min="7" max="9" width="7" customWidth="1"/>
    <col min="10" max="10" width="17" customWidth="1"/>
    <col min="11" max="15" width="2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1" t="s">
        <v>6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</row>
    <row r="2" spans="1:15" x14ac:dyDescent="0.35">
      <c r="A2" s="2">
        <v>46300</v>
      </c>
      <c r="B2">
        <v>643</v>
      </c>
      <c r="C2">
        <v>557</v>
      </c>
      <c r="D2">
        <v>587</v>
      </c>
      <c r="E2">
        <v>628</v>
      </c>
      <c r="F2">
        <v>646</v>
      </c>
      <c r="J2" s="2">
        <v>46300</v>
      </c>
      <c r="K2">
        <v>582</v>
      </c>
      <c r="L2">
        <v>495</v>
      </c>
      <c r="M2">
        <v>548</v>
      </c>
      <c r="N2">
        <v>588</v>
      </c>
      <c r="O2">
        <v>588</v>
      </c>
    </row>
    <row r="3" spans="1:15" x14ac:dyDescent="0.35">
      <c r="A3" s="2">
        <v>46301</v>
      </c>
      <c r="B3">
        <v>612</v>
      </c>
      <c r="C3">
        <v>499</v>
      </c>
      <c r="D3">
        <v>506</v>
      </c>
      <c r="E3">
        <v>508</v>
      </c>
      <c r="F3">
        <v>530</v>
      </c>
      <c r="J3" s="2">
        <v>46301</v>
      </c>
      <c r="K3">
        <v>517</v>
      </c>
      <c r="L3">
        <v>527</v>
      </c>
      <c r="M3">
        <v>574</v>
      </c>
      <c r="N3">
        <v>596</v>
      </c>
      <c r="O3">
        <v>594</v>
      </c>
    </row>
    <row r="4" spans="1:15" x14ac:dyDescent="0.35">
      <c r="A4" s="2">
        <v>46302</v>
      </c>
      <c r="B4">
        <v>699</v>
      </c>
      <c r="C4">
        <v>768</v>
      </c>
      <c r="D4">
        <v>784</v>
      </c>
      <c r="E4">
        <v>767</v>
      </c>
      <c r="F4">
        <v>772</v>
      </c>
      <c r="J4" s="2">
        <v>46302</v>
      </c>
      <c r="K4">
        <v>471</v>
      </c>
      <c r="L4">
        <v>435</v>
      </c>
      <c r="M4">
        <v>462</v>
      </c>
      <c r="N4">
        <v>478</v>
      </c>
      <c r="O4">
        <v>480</v>
      </c>
    </row>
    <row r="5" spans="1:15" x14ac:dyDescent="0.35">
      <c r="A5" s="2">
        <v>46303</v>
      </c>
      <c r="B5">
        <v>773</v>
      </c>
      <c r="C5">
        <v>835</v>
      </c>
      <c r="D5">
        <v>865</v>
      </c>
      <c r="E5">
        <v>867</v>
      </c>
      <c r="F5">
        <v>892</v>
      </c>
      <c r="J5" s="2">
        <v>46303</v>
      </c>
      <c r="K5">
        <v>518</v>
      </c>
      <c r="L5">
        <v>528</v>
      </c>
      <c r="M5">
        <v>583</v>
      </c>
      <c r="N5">
        <v>613</v>
      </c>
      <c r="O5">
        <v>617</v>
      </c>
    </row>
    <row r="6" spans="1:15" x14ac:dyDescent="0.35">
      <c r="A6" s="2">
        <v>46304</v>
      </c>
      <c r="B6">
        <v>798</v>
      </c>
      <c r="C6">
        <v>879</v>
      </c>
      <c r="D6">
        <v>859</v>
      </c>
      <c r="E6">
        <v>879</v>
      </c>
      <c r="F6">
        <v>897</v>
      </c>
      <c r="J6" s="2">
        <v>46304</v>
      </c>
      <c r="K6">
        <v>570</v>
      </c>
      <c r="L6">
        <v>475</v>
      </c>
      <c r="M6">
        <v>566</v>
      </c>
      <c r="N6">
        <v>628</v>
      </c>
      <c r="O6">
        <v>628</v>
      </c>
    </row>
    <row r="7" spans="1:15" x14ac:dyDescent="0.35">
      <c r="A7" s="2">
        <v>46305</v>
      </c>
      <c r="B7">
        <v>837</v>
      </c>
      <c r="C7">
        <v>970</v>
      </c>
      <c r="D7">
        <v>972</v>
      </c>
      <c r="E7">
        <v>1007</v>
      </c>
      <c r="F7">
        <v>991</v>
      </c>
      <c r="J7" s="2">
        <v>46305</v>
      </c>
      <c r="K7">
        <v>574</v>
      </c>
      <c r="L7">
        <v>520</v>
      </c>
      <c r="M7">
        <v>583</v>
      </c>
      <c r="N7">
        <v>607</v>
      </c>
      <c r="O7">
        <v>597</v>
      </c>
    </row>
    <row r="8" spans="1:15" x14ac:dyDescent="0.35">
      <c r="A8" s="2">
        <v>46306</v>
      </c>
      <c r="B8">
        <v>698</v>
      </c>
      <c r="C8">
        <v>787</v>
      </c>
      <c r="D8">
        <v>798</v>
      </c>
      <c r="E8">
        <v>812</v>
      </c>
      <c r="F8">
        <v>782</v>
      </c>
      <c r="J8" s="2">
        <v>46306</v>
      </c>
      <c r="K8">
        <v>762</v>
      </c>
      <c r="L8">
        <v>655</v>
      </c>
      <c r="M8">
        <v>778</v>
      </c>
      <c r="N8">
        <v>805</v>
      </c>
      <c r="O8">
        <v>792</v>
      </c>
    </row>
    <row r="12" spans="1:15" x14ac:dyDescent="0.35">
      <c r="A12" s="1" t="s">
        <v>7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J12" s="1" t="s">
        <v>8</v>
      </c>
      <c r="K12" s="1" t="s">
        <v>1</v>
      </c>
      <c r="L12" s="1" t="s">
        <v>2</v>
      </c>
      <c r="M12" s="1" t="s">
        <v>3</v>
      </c>
      <c r="N12" s="1" t="s">
        <v>4</v>
      </c>
      <c r="O12" s="1" t="s">
        <v>5</v>
      </c>
    </row>
    <row r="13" spans="1:15" x14ac:dyDescent="0.35">
      <c r="A13" s="2">
        <v>46300</v>
      </c>
      <c r="B13">
        <v>681</v>
      </c>
      <c r="C13">
        <v>681</v>
      </c>
      <c r="D13">
        <v>681</v>
      </c>
      <c r="E13">
        <v>681</v>
      </c>
      <c r="F13">
        <v>681</v>
      </c>
      <c r="J13" s="2">
        <v>46300</v>
      </c>
      <c r="K13">
        <v>559</v>
      </c>
      <c r="L13">
        <v>559</v>
      </c>
      <c r="M13">
        <v>559</v>
      </c>
      <c r="N13">
        <v>559</v>
      </c>
      <c r="O13">
        <v>559</v>
      </c>
    </row>
    <row r="14" spans="1:15" x14ac:dyDescent="0.35">
      <c r="A14" s="2">
        <v>46301</v>
      </c>
      <c r="B14">
        <v>552</v>
      </c>
      <c r="C14">
        <v>552</v>
      </c>
      <c r="D14">
        <v>552</v>
      </c>
      <c r="E14">
        <v>552</v>
      </c>
      <c r="F14">
        <v>552</v>
      </c>
      <c r="J14" s="2">
        <v>46301</v>
      </c>
      <c r="K14">
        <v>586</v>
      </c>
      <c r="L14">
        <v>586</v>
      </c>
      <c r="M14">
        <v>586</v>
      </c>
      <c r="N14">
        <v>586</v>
      </c>
      <c r="O14">
        <v>586</v>
      </c>
    </row>
    <row r="15" spans="1:15" x14ac:dyDescent="0.35">
      <c r="A15" s="2">
        <v>46302</v>
      </c>
      <c r="B15">
        <v>797</v>
      </c>
      <c r="C15">
        <v>797</v>
      </c>
      <c r="D15">
        <v>797</v>
      </c>
      <c r="E15">
        <v>797</v>
      </c>
      <c r="F15">
        <v>797</v>
      </c>
      <c r="J15" s="2">
        <v>46302</v>
      </c>
      <c r="K15">
        <v>487</v>
      </c>
      <c r="L15">
        <v>487</v>
      </c>
      <c r="M15">
        <v>487</v>
      </c>
      <c r="N15">
        <v>487</v>
      </c>
      <c r="O15">
        <v>487</v>
      </c>
    </row>
    <row r="16" spans="1:15" x14ac:dyDescent="0.35">
      <c r="A16" s="2">
        <v>46303</v>
      </c>
      <c r="B16">
        <v>860</v>
      </c>
      <c r="C16">
        <v>860</v>
      </c>
      <c r="D16">
        <v>860</v>
      </c>
      <c r="E16">
        <v>860</v>
      </c>
      <c r="F16">
        <v>860</v>
      </c>
      <c r="J16" s="2">
        <v>46303</v>
      </c>
      <c r="K16">
        <v>581</v>
      </c>
      <c r="L16">
        <v>581</v>
      </c>
      <c r="M16">
        <v>581</v>
      </c>
      <c r="N16">
        <v>581</v>
      </c>
      <c r="O16">
        <v>581</v>
      </c>
    </row>
    <row r="17" spans="1:15" x14ac:dyDescent="0.35">
      <c r="A17" s="2">
        <v>46304</v>
      </c>
      <c r="B17">
        <v>863</v>
      </c>
      <c r="C17">
        <v>863</v>
      </c>
      <c r="D17">
        <v>863</v>
      </c>
      <c r="E17">
        <v>863</v>
      </c>
      <c r="F17">
        <v>863</v>
      </c>
      <c r="J17" s="2">
        <v>46304</v>
      </c>
      <c r="K17">
        <v>593</v>
      </c>
      <c r="L17">
        <v>593</v>
      </c>
      <c r="M17">
        <v>593</v>
      </c>
      <c r="N17">
        <v>593</v>
      </c>
      <c r="O17">
        <v>593</v>
      </c>
    </row>
    <row r="18" spans="1:15" x14ac:dyDescent="0.35">
      <c r="A18" s="2">
        <v>46305</v>
      </c>
      <c r="B18">
        <v>979</v>
      </c>
      <c r="C18">
        <v>979</v>
      </c>
      <c r="D18">
        <v>979</v>
      </c>
      <c r="E18">
        <v>979</v>
      </c>
      <c r="F18">
        <v>979</v>
      </c>
      <c r="J18" s="2">
        <v>46305</v>
      </c>
      <c r="K18">
        <v>570</v>
      </c>
      <c r="L18">
        <v>570</v>
      </c>
      <c r="M18">
        <v>570</v>
      </c>
      <c r="N18">
        <v>570</v>
      </c>
      <c r="O18">
        <v>570</v>
      </c>
    </row>
    <row r="19" spans="1:15" x14ac:dyDescent="0.35">
      <c r="A19" s="2">
        <v>46306</v>
      </c>
      <c r="B19">
        <v>764</v>
      </c>
      <c r="C19">
        <v>764</v>
      </c>
      <c r="D19">
        <v>764</v>
      </c>
      <c r="E19">
        <v>764</v>
      </c>
      <c r="F19">
        <v>764</v>
      </c>
      <c r="J19" s="2">
        <v>46306</v>
      </c>
      <c r="K19">
        <v>764</v>
      </c>
      <c r="L19">
        <v>764</v>
      </c>
      <c r="M19">
        <v>764</v>
      </c>
      <c r="N19">
        <v>764</v>
      </c>
      <c r="O19">
        <v>764</v>
      </c>
    </row>
    <row r="23" spans="1:15" x14ac:dyDescent="0.35">
      <c r="A23" s="1" t="s">
        <v>9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J23" s="1" t="s">
        <v>10</v>
      </c>
      <c r="K23" s="1" t="s">
        <v>1</v>
      </c>
      <c r="L23" s="1" t="s">
        <v>2</v>
      </c>
      <c r="M23" s="1" t="s">
        <v>3</v>
      </c>
      <c r="N23" s="1" t="s">
        <v>4</v>
      </c>
      <c r="O23" s="1" t="s">
        <v>5</v>
      </c>
    </row>
    <row r="24" spans="1:15" x14ac:dyDescent="0.35">
      <c r="A24" s="2">
        <v>46300</v>
      </c>
      <c r="B24">
        <v>0.94419970631424377</v>
      </c>
      <c r="C24">
        <v>0.81791483113069019</v>
      </c>
      <c r="D24">
        <v>0.86196769456681355</v>
      </c>
      <c r="E24">
        <v>0.92217327459618215</v>
      </c>
      <c r="F24">
        <v>0.94860499265785614</v>
      </c>
      <c r="J24" s="2">
        <v>46300</v>
      </c>
      <c r="K24">
        <v>0.95885509838998206</v>
      </c>
      <c r="L24">
        <v>0.88550983899821112</v>
      </c>
      <c r="M24">
        <v>0.98032200357781751</v>
      </c>
      <c r="N24">
        <v>0.94812164579606439</v>
      </c>
      <c r="O24">
        <v>0.94812164579606439</v>
      </c>
    </row>
    <row r="25" spans="1:15" x14ac:dyDescent="0.35">
      <c r="A25" s="2">
        <v>46301</v>
      </c>
      <c r="B25">
        <v>0.89130434782608692</v>
      </c>
      <c r="C25">
        <v>0.90398550724637683</v>
      </c>
      <c r="D25">
        <v>0.91666666666666663</v>
      </c>
      <c r="E25">
        <v>0.92028985507246375</v>
      </c>
      <c r="F25">
        <v>0.96014492753623193</v>
      </c>
      <c r="J25" s="2">
        <v>46301</v>
      </c>
      <c r="K25">
        <v>0.88225255972696248</v>
      </c>
      <c r="L25">
        <v>0.89931740614334466</v>
      </c>
      <c r="M25">
        <v>0.97952218430034133</v>
      </c>
      <c r="N25">
        <v>0.98293515358361772</v>
      </c>
      <c r="O25">
        <v>0.98634812286689422</v>
      </c>
    </row>
    <row r="26" spans="1:15" x14ac:dyDescent="0.35">
      <c r="A26" s="2">
        <v>46302</v>
      </c>
      <c r="B26">
        <v>0.87703889585947303</v>
      </c>
      <c r="C26">
        <v>0.96361355081555833</v>
      </c>
      <c r="D26">
        <v>0.98368883312421584</v>
      </c>
      <c r="E26">
        <v>0.96235884567126728</v>
      </c>
      <c r="F26">
        <v>0.96863237139272274</v>
      </c>
      <c r="J26" s="2">
        <v>46302</v>
      </c>
      <c r="K26">
        <v>0.96714579055441474</v>
      </c>
      <c r="L26">
        <v>0.89322381930184802</v>
      </c>
      <c r="M26">
        <v>0.94866529774127306</v>
      </c>
      <c r="N26">
        <v>0.98151950718685832</v>
      </c>
      <c r="O26">
        <v>0.98562628336755642</v>
      </c>
    </row>
    <row r="27" spans="1:15" x14ac:dyDescent="0.35">
      <c r="A27" s="2">
        <v>46303</v>
      </c>
      <c r="B27">
        <v>0.89883720930232558</v>
      </c>
      <c r="C27">
        <v>0.97093023255813948</v>
      </c>
      <c r="D27">
        <v>0.9941860465116279</v>
      </c>
      <c r="E27">
        <v>0.99186046511627912</v>
      </c>
      <c r="F27">
        <v>0.96279069767441861</v>
      </c>
      <c r="J27" s="2">
        <v>46303</v>
      </c>
      <c r="K27">
        <v>0.89156626506024095</v>
      </c>
      <c r="L27">
        <v>0.90877796901893282</v>
      </c>
      <c r="M27">
        <v>0.99655765920826167</v>
      </c>
      <c r="N27">
        <v>0.94492254733218584</v>
      </c>
      <c r="O27">
        <v>0.93803786574870918</v>
      </c>
    </row>
    <row r="28" spans="1:15" x14ac:dyDescent="0.35">
      <c r="A28" s="2">
        <v>46304</v>
      </c>
      <c r="B28">
        <v>0.92468134414831982</v>
      </c>
      <c r="C28">
        <v>0.98146002317497105</v>
      </c>
      <c r="D28">
        <v>0.99536500579374276</v>
      </c>
      <c r="E28">
        <v>0.98146002317497105</v>
      </c>
      <c r="F28">
        <v>0.96060254924681343</v>
      </c>
      <c r="J28" s="2">
        <v>46304</v>
      </c>
      <c r="K28">
        <v>0.96121416526138281</v>
      </c>
      <c r="L28">
        <v>0.8010118043844856</v>
      </c>
      <c r="M28">
        <v>0.95446880269814505</v>
      </c>
      <c r="N28">
        <v>0.94097807757166951</v>
      </c>
      <c r="O28">
        <v>0.94097807757166951</v>
      </c>
    </row>
    <row r="29" spans="1:15" x14ac:dyDescent="0.35">
      <c r="A29" s="2">
        <v>46305</v>
      </c>
      <c r="B29">
        <v>0.85495403472931564</v>
      </c>
      <c r="C29">
        <v>0.99080694586312568</v>
      </c>
      <c r="D29">
        <v>0.99284984678243104</v>
      </c>
      <c r="E29">
        <v>0.97139938712972418</v>
      </c>
      <c r="F29">
        <v>0.98774259448416757</v>
      </c>
      <c r="J29" s="2">
        <v>46305</v>
      </c>
      <c r="K29">
        <v>0.99298245614035086</v>
      </c>
      <c r="L29">
        <v>0.91228070175438591</v>
      </c>
      <c r="M29">
        <v>0.97719298245614039</v>
      </c>
      <c r="N29">
        <v>0.93508771929824563</v>
      </c>
      <c r="O29">
        <v>0.95263157894736838</v>
      </c>
    </row>
    <row r="30" spans="1:15" x14ac:dyDescent="0.35">
      <c r="A30" s="2">
        <v>46306</v>
      </c>
      <c r="B30">
        <v>0.91361256544502623</v>
      </c>
      <c r="C30">
        <v>0.96989528795811519</v>
      </c>
      <c r="D30">
        <v>0.95549738219895286</v>
      </c>
      <c r="E30">
        <v>0.93717277486910999</v>
      </c>
      <c r="F30">
        <v>0.97643979057591623</v>
      </c>
      <c r="J30" s="2">
        <v>46306</v>
      </c>
      <c r="K30">
        <v>0.99738219895287961</v>
      </c>
      <c r="L30">
        <v>0.85732984293193715</v>
      </c>
      <c r="M30">
        <v>0.98167539267015702</v>
      </c>
      <c r="N30">
        <v>0.94633507853403143</v>
      </c>
      <c r="O30">
        <v>0.96335078534031415</v>
      </c>
    </row>
    <row r="32" spans="1:15" x14ac:dyDescent="0.35">
      <c r="B32">
        <f>AVERAGE(B24:B30)</f>
        <v>0.90066115766068455</v>
      </c>
      <c r="C32">
        <f t="shared" ref="C32:F32" si="0">AVERAGE(C24:C30)</f>
        <v>0.942658054106711</v>
      </c>
      <c r="D32">
        <f t="shared" si="0"/>
        <v>0.9571744965206358</v>
      </c>
      <c r="E32">
        <f t="shared" si="0"/>
        <v>0.95524494651857117</v>
      </c>
      <c r="F32">
        <f t="shared" si="0"/>
        <v>0.9664225605097323</v>
      </c>
      <c r="K32">
        <f>AVERAGE(K24:K30)</f>
        <v>0.95019979058374482</v>
      </c>
      <c r="L32">
        <f t="shared" ref="L32:O32" si="1">AVERAGE(L24:L30)</f>
        <v>0.8796359117904492</v>
      </c>
      <c r="M32">
        <f t="shared" si="1"/>
        <v>0.97405776037887648</v>
      </c>
      <c r="N32">
        <f t="shared" si="1"/>
        <v>0.95427138990038185</v>
      </c>
      <c r="O32">
        <f t="shared" si="1"/>
        <v>0.95929919423408239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371CF-2B0D-4DE4-A658-577258B99926}">
  <dimension ref="A1:T8"/>
  <sheetViews>
    <sheetView tabSelected="1" topLeftCell="A15" zoomScale="81" workbookViewId="0">
      <selection activeCell="I25" sqref="I25"/>
    </sheetView>
  </sheetViews>
  <sheetFormatPr defaultRowHeight="14.5" x14ac:dyDescent="0.35"/>
  <cols>
    <col min="1" max="1" width="14.7265625" bestFit="1" customWidth="1"/>
    <col min="2" max="2" width="7.1796875" bestFit="1" customWidth="1"/>
    <col min="3" max="4" width="11.54296875" bestFit="1" customWidth="1"/>
    <col min="5" max="7" width="10.54296875" bestFit="1" customWidth="1"/>
    <col min="8" max="9" width="11.54296875" bestFit="1" customWidth="1"/>
    <col min="10" max="12" width="10.54296875" bestFit="1" customWidth="1"/>
    <col min="14" max="14" width="11.453125" customWidth="1"/>
  </cols>
  <sheetData>
    <row r="1" spans="1:20" x14ac:dyDescent="0.35">
      <c r="A1" s="3"/>
      <c r="B1" s="4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N1" s="3"/>
      <c r="O1" s="4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x14ac:dyDescent="0.35">
      <c r="A2" s="5">
        <v>46314</v>
      </c>
      <c r="B2" s="3">
        <v>546</v>
      </c>
      <c r="C2" s="6">
        <v>763</v>
      </c>
      <c r="D2" s="6">
        <v>431</v>
      </c>
      <c r="E2" s="6">
        <v>479</v>
      </c>
      <c r="F2" s="6">
        <v>512</v>
      </c>
      <c r="G2" s="6">
        <v>522</v>
      </c>
      <c r="N2" s="5">
        <v>46314</v>
      </c>
      <c r="O2" s="3">
        <v>775</v>
      </c>
      <c r="P2" s="6">
        <v>755</v>
      </c>
      <c r="Q2" s="6">
        <v>640</v>
      </c>
      <c r="R2" s="6">
        <v>752</v>
      </c>
      <c r="S2" s="6">
        <v>801</v>
      </c>
      <c r="T2" s="6">
        <v>790</v>
      </c>
    </row>
    <row r="3" spans="1:20" x14ac:dyDescent="0.35">
      <c r="A3" s="5">
        <v>46315</v>
      </c>
      <c r="B3" s="3">
        <v>409</v>
      </c>
      <c r="C3" s="6">
        <v>589</v>
      </c>
      <c r="D3" s="6">
        <v>359</v>
      </c>
      <c r="E3" s="6">
        <v>390</v>
      </c>
      <c r="F3" s="6">
        <v>396</v>
      </c>
      <c r="G3" s="6">
        <v>403.49625474724581</v>
      </c>
      <c r="N3" s="5">
        <v>46315</v>
      </c>
      <c r="O3" s="3">
        <v>759</v>
      </c>
      <c r="P3" s="6">
        <v>702</v>
      </c>
      <c r="Q3" s="6">
        <v>629</v>
      </c>
      <c r="R3" s="6">
        <v>735</v>
      </c>
      <c r="S3" s="6">
        <v>746</v>
      </c>
      <c r="T3" s="6">
        <v>702.46634048656563</v>
      </c>
    </row>
    <row r="4" spans="1:20" x14ac:dyDescent="0.35">
      <c r="A4" s="5">
        <v>46316</v>
      </c>
      <c r="B4" s="3">
        <v>489</v>
      </c>
      <c r="C4" s="6">
        <v>701</v>
      </c>
      <c r="D4" s="6">
        <v>429</v>
      </c>
      <c r="E4" s="6">
        <v>475</v>
      </c>
      <c r="F4" s="6">
        <v>463</v>
      </c>
      <c r="G4" s="6">
        <v>492.98287277764388</v>
      </c>
      <c r="N4" s="5">
        <v>46316</v>
      </c>
      <c r="O4" s="3">
        <v>589</v>
      </c>
      <c r="P4" s="6">
        <v>647</v>
      </c>
      <c r="Q4" s="6">
        <v>511</v>
      </c>
      <c r="R4" s="6">
        <v>594</v>
      </c>
      <c r="S4" s="6">
        <v>600</v>
      </c>
      <c r="T4" s="6">
        <v>579.78677119658664</v>
      </c>
    </row>
    <row r="5" spans="1:20" x14ac:dyDescent="0.35">
      <c r="A5" s="5">
        <v>46317</v>
      </c>
      <c r="B5" s="3">
        <v>439</v>
      </c>
      <c r="C5" s="6">
        <v>620</v>
      </c>
      <c r="D5" s="6">
        <v>362</v>
      </c>
      <c r="E5" s="6">
        <v>394</v>
      </c>
      <c r="F5" s="6">
        <v>444.14806762882898</v>
      </c>
      <c r="G5" s="6">
        <v>442.57796020892488</v>
      </c>
      <c r="N5" s="5">
        <v>46317</v>
      </c>
      <c r="O5" s="3">
        <v>776</v>
      </c>
      <c r="P5" s="6">
        <v>733</v>
      </c>
      <c r="Q5" s="6">
        <v>671</v>
      </c>
      <c r="R5" s="6">
        <v>777</v>
      </c>
      <c r="S5" s="6">
        <v>751.35230037530016</v>
      </c>
      <c r="T5" s="6">
        <v>758.27626331014335</v>
      </c>
    </row>
    <row r="6" spans="1:20" x14ac:dyDescent="0.35">
      <c r="A6" s="5">
        <v>46318</v>
      </c>
      <c r="B6" s="3">
        <v>515</v>
      </c>
      <c r="C6" s="6">
        <v>635</v>
      </c>
      <c r="D6" s="6">
        <v>496</v>
      </c>
      <c r="E6" s="6">
        <v>512</v>
      </c>
      <c r="F6" s="6">
        <v>555.53896647234251</v>
      </c>
      <c r="G6" s="6">
        <v>538.67679230860563</v>
      </c>
      <c r="N6" s="5">
        <v>46318</v>
      </c>
      <c r="O6" s="3">
        <v>658</v>
      </c>
      <c r="P6" s="6">
        <v>762</v>
      </c>
      <c r="Q6" s="6">
        <v>591</v>
      </c>
      <c r="R6" s="6">
        <v>676</v>
      </c>
      <c r="S6" s="6">
        <v>689.38749369029858</v>
      </c>
      <c r="T6" s="6">
        <v>697.1209702605446</v>
      </c>
    </row>
    <row r="7" spans="1:20" x14ac:dyDescent="0.35">
      <c r="A7" s="5">
        <v>46319</v>
      </c>
      <c r="B7" s="3">
        <v>620</v>
      </c>
      <c r="C7" s="6">
        <v>684</v>
      </c>
      <c r="D7" s="6">
        <v>587</v>
      </c>
      <c r="E7" s="6">
        <v>608</v>
      </c>
      <c r="F7" s="6">
        <v>655.15396553963535</v>
      </c>
      <c r="G7" s="6"/>
      <c r="N7" s="5">
        <v>46319</v>
      </c>
      <c r="O7" s="3">
        <v>651</v>
      </c>
      <c r="P7" s="6">
        <v>707</v>
      </c>
      <c r="Q7" s="6">
        <v>633</v>
      </c>
      <c r="R7" s="6">
        <v>736</v>
      </c>
      <c r="S7" s="6">
        <v>715.03163252573358</v>
      </c>
      <c r="T7" s="6"/>
    </row>
    <row r="8" spans="1:20" x14ac:dyDescent="0.35">
      <c r="A8" s="5">
        <v>46320</v>
      </c>
      <c r="B8" s="3">
        <v>387</v>
      </c>
      <c r="C8" s="6">
        <v>551</v>
      </c>
      <c r="D8" s="6">
        <v>320</v>
      </c>
      <c r="E8" s="6">
        <v>338</v>
      </c>
      <c r="F8" s="6">
        <v>415.97809284487448</v>
      </c>
      <c r="G8" s="6"/>
      <c r="N8" s="5">
        <v>46320</v>
      </c>
      <c r="O8" s="3">
        <v>785</v>
      </c>
      <c r="P8" s="6">
        <v>816</v>
      </c>
      <c r="Q8" s="6">
        <v>715</v>
      </c>
      <c r="R8" s="6">
        <v>806</v>
      </c>
      <c r="S8" s="6">
        <v>791.44407609608731</v>
      </c>
      <c r="T8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ad8f9e-7a7b-432e-97dd-86f0e9a7e1bc">
      <Terms xmlns="http://schemas.microsoft.com/office/infopath/2007/PartnerControls"/>
    </lcf76f155ced4ddcb4097134ff3c332f>
    <TaxCatchAll xmlns="f0dda4bb-d454-4dac-bd43-ae4a9e0cc4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2B90B0081734E999EE7891B10D333" ma:contentTypeVersion="12" ma:contentTypeDescription="Create a new document." ma:contentTypeScope="" ma:versionID="b2d5e73511f106ac4acf806de4c7b78d">
  <xsd:schema xmlns:xsd="http://www.w3.org/2001/XMLSchema" xmlns:xs="http://www.w3.org/2001/XMLSchema" xmlns:p="http://schemas.microsoft.com/office/2006/metadata/properties" xmlns:ns2="a2ad8f9e-7a7b-432e-97dd-86f0e9a7e1bc" xmlns:ns3="f0dda4bb-d454-4dac-bd43-ae4a9e0cc4ea" targetNamespace="http://schemas.microsoft.com/office/2006/metadata/properties" ma:root="true" ma:fieldsID="c25fd87c613fdc7836740f45f479af7b" ns2:_="" ns3:_="">
    <xsd:import namespace="a2ad8f9e-7a7b-432e-97dd-86f0e9a7e1bc"/>
    <xsd:import namespace="f0dda4bb-d454-4dac-bd43-ae4a9e0c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d8f9e-7a7b-432e-97dd-86f0e9a7e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147f93-afaf-474d-870c-b9ddae6e9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da4bb-d454-4dac-bd43-ae4a9e0cc4e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a2ee51-8d49-4589-bc48-c6d738d67684}" ma:internalName="TaxCatchAll" ma:showField="CatchAllData" ma:web="f0dda4bb-d454-4dac-bd43-ae4a9e0c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D798A4-3504-42CA-AEDE-71CFCE5177F5}">
  <ds:schemaRefs>
    <ds:schemaRef ds:uri="http://schemas.microsoft.com/office/2006/metadata/properties"/>
    <ds:schemaRef ds:uri="http://schemas.microsoft.com/office/infopath/2007/PartnerControls"/>
    <ds:schemaRef ds:uri="a2ad8f9e-7a7b-432e-97dd-86f0e9a7e1bc"/>
    <ds:schemaRef ds:uri="f0dda4bb-d454-4dac-bd43-ae4a9e0cc4ea"/>
  </ds:schemaRefs>
</ds:datastoreItem>
</file>

<file path=customXml/itemProps2.xml><?xml version="1.0" encoding="utf-8"?>
<ds:datastoreItem xmlns:ds="http://schemas.openxmlformats.org/officeDocument/2006/customXml" ds:itemID="{45FC7B34-BBBE-42CF-BD21-C7332D32CE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ad8f9e-7a7b-432e-97dd-86f0e9a7e1bc"/>
    <ds:schemaRef ds:uri="f0dda4bb-d454-4dac-bd43-ae4a9e0cc4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A43945-21EF-4CE4-BC4D-C0FD34343B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 Accuracy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2026-10-12T14:16:34Z</dcterms:created>
  <dcterms:modified xsi:type="dcterms:W3CDTF">2026-10-26T09:42:12Z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0x0101001712B90B0081734E999EE7891B10D333</vt:lpwstr>
  </property>
  <property fmtid="{D5CDD505-2E9C-101B-9397-08002B2CF9AE}" pid="3" name="MediaServiceImageTags">
    <vt:lpwstr/>
  </property>
</Properties>
</file>