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PRM/minibus_trial/"/>
    </mc:Choice>
  </mc:AlternateContent>
  <xr:revisionPtr revIDLastSave="31" documentId="11_5E390AF582B6227DA48516E8500DC360A9FA0A3E" xr6:coauthVersionLast="47" xr6:coauthVersionMax="47" xr10:uidLastSave="{4811E51F-2020-46AF-83EB-9BE12275DB33}"/>
  <bookViews>
    <workbookView xWindow="-110" yWindow="-110" windowWidth="19420" windowHeight="11500" firstSheet="20" activeTab="20" xr2:uid="{00000000-000D-0000-FFFF-FFFF00000000}"/>
  </bookViews>
  <sheets>
    <sheet name="Summary" sheetId="1" r:id="rId1"/>
    <sheet name="Vehicle Service Baseline" sheetId="2" r:id="rId2"/>
    <sheet name="Vehicle Service Trial" sheetId="3" r:id="rId3"/>
    <sheet name="Vehicle Utilisation Baseline" sheetId="4" r:id="rId4"/>
    <sheet name="Vehicle Utilisation Trial" sheetId="5" r:id="rId5"/>
    <sheet name="Rolling Hour Stats Baseline" sheetId="6" r:id="rId6"/>
    <sheet name="Rolling Hour Stats Trial" sheetId="7" r:id="rId7"/>
    <sheet name="Avg Rolling Hour Usage Baseline" sheetId="8" r:id="rId8"/>
    <sheet name="Avg Rolling Hour Usage Trial" sheetId="9" r:id="rId9"/>
    <sheet name="Rolling Hour Profile Baseline" sheetId="10" r:id="rId10"/>
    <sheet name="Rolling Hour Profile Trial" sheetId="11" r:id="rId11"/>
    <sheet name="Peak Rolling Hours Baseline" sheetId="12" r:id="rId12"/>
    <sheet name="Peak Rolling Hours Trial" sheetId="13" r:id="rId13"/>
    <sheet name="SSR Mix Baseline" sheetId="14" r:id="rId14"/>
    <sheet name="SSR Mix 4W Pre" sheetId="15" r:id="rId15"/>
    <sheet name="SSR Mix Trial" sheetId="16" r:id="rId16"/>
    <sheet name="Trial KPI Comparison" sheetId="17" r:id="rId17"/>
    <sheet name="Weekday Baseline" sheetId="18" r:id="rId18"/>
    <sheet name="Weekday 4W Pre" sheetId="19" r:id="rId19"/>
    <sheet name="Weekday Trial" sheetId="20" r:id="rId20"/>
    <sheet name="Weekday Comparison" sheetId="2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7" l="1"/>
  <c r="E29" i="17"/>
  <c r="E28" i="17"/>
  <c r="F28" i="17" s="1"/>
  <c r="F27" i="17"/>
  <c r="E27" i="17"/>
  <c r="F26" i="17"/>
  <c r="E26" i="17"/>
  <c r="F25" i="17"/>
  <c r="F6" i="17"/>
  <c r="E25" i="17"/>
</calcChain>
</file>

<file path=xl/sharedStrings.xml><?xml version="1.0" encoding="utf-8"?>
<sst xmlns="http://schemas.openxmlformats.org/spreadsheetml/2006/main" count="568" uniqueCount="139">
  <si>
    <t>Metric</t>
  </si>
  <si>
    <t>Value</t>
  </si>
  <si>
    <t>Analysis Start Date</t>
  </si>
  <si>
    <t>2025-08-26</t>
  </si>
  <si>
    <t>Analysis End Date</t>
  </si>
  <si>
    <t>2026-09-16</t>
  </si>
  <si>
    <t>Days Included</t>
  </si>
  <si>
    <t>Monday-Friday</t>
  </si>
  <si>
    <t>Operating Window</t>
  </si>
  <si>
    <t>14:00-18:00</t>
  </si>
  <si>
    <t>PRM Rows</t>
  </si>
  <si>
    <t>Unique Passengers</t>
  </si>
  <si>
    <t>Unique Vehicle Models</t>
  </si>
  <si>
    <t>Ambulift Passengers</t>
  </si>
  <si>
    <t>Minibus Passengers</t>
  </si>
  <si>
    <t>No Vehicle Passengers</t>
  </si>
  <si>
    <t>Vehicle Type</t>
  </si>
  <si>
    <t>Average Service Time (minutes)</t>
  </si>
  <si>
    <t>Ambulift</t>
  </si>
  <si>
    <t>Mini Bus</t>
  </si>
  <si>
    <t>No Vehicle</t>
  </si>
  <si>
    <t>Vehicle Model</t>
  </si>
  <si>
    <t>Utilisation %</t>
  </si>
  <si>
    <t>Active-Hour Avg PRMs</t>
  </si>
  <si>
    <t>Total Windows</t>
  </si>
  <si>
    <t>Active Windows</t>
  </si>
  <si>
    <t>14111</t>
  </si>
  <si>
    <t>14112</t>
  </si>
  <si>
    <t>14161</t>
  </si>
  <si>
    <t>14162</t>
  </si>
  <si>
    <t>14163</t>
  </si>
  <si>
    <t>79</t>
  </si>
  <si>
    <t>79801</t>
  </si>
  <si>
    <t>79802</t>
  </si>
  <si>
    <t>79803</t>
  </si>
  <si>
    <t>79804</t>
  </si>
  <si>
    <t>79805</t>
  </si>
  <si>
    <t>79900</t>
  </si>
  <si>
    <t>80</t>
  </si>
  <si>
    <t>AST1</t>
  </si>
  <si>
    <t>OCS360</t>
  </si>
  <si>
    <t>OCS630</t>
  </si>
  <si>
    <t>OMN135</t>
  </si>
  <si>
    <t>WJ16ODR</t>
  </si>
  <si>
    <t>WJ16ODT</t>
  </si>
  <si>
    <t>WJ16OFD</t>
  </si>
  <si>
    <t>Unknown</t>
  </si>
  <si>
    <t>ALL AMBULIFTS</t>
  </si>
  <si>
    <t>ALL</t>
  </si>
  <si>
    <t>ALL MINIBUSES</t>
  </si>
  <si>
    <t>ALL VEHICLES</t>
  </si>
  <si>
    <t>Median PRMs (All Hours)</t>
  </si>
  <si>
    <t>StdDev PRMs (All Hours)</t>
  </si>
  <si>
    <t>Median PRMs (Active Hours)</t>
  </si>
  <si>
    <t>StdDev PRMs (Active Hours)</t>
  </si>
  <si>
    <t>Avg PRMs per Rolling Hour</t>
  </si>
  <si>
    <t>WindowLabel</t>
  </si>
  <si>
    <t>13:15–14:15</t>
  </si>
  <si>
    <t>13:30–14:30</t>
  </si>
  <si>
    <t>13:45–14:45</t>
  </si>
  <si>
    <t>14:00–15:00</t>
  </si>
  <si>
    <t>14:15–15:15</t>
  </si>
  <si>
    <t>14:30–15:30</t>
  </si>
  <si>
    <t>14:45–15:45</t>
  </si>
  <si>
    <t>15:00–16:00</t>
  </si>
  <si>
    <t>15:15–16:15</t>
  </si>
  <si>
    <t>15:30–16:30</t>
  </si>
  <si>
    <t>15:45–16:45</t>
  </si>
  <si>
    <t>16:00–17:00</t>
  </si>
  <si>
    <t>16:15–17:15</t>
  </si>
  <si>
    <t>16:30–17:30</t>
  </si>
  <si>
    <t>16:45–17:45</t>
  </si>
  <si>
    <t>17:00–18:00</t>
  </si>
  <si>
    <t>Peak PRMs in Any Rolling Hour</t>
  </si>
  <si>
    <t>Peak Window Start</t>
  </si>
  <si>
    <t>Peak Window End</t>
  </si>
  <si>
    <t>SSR Code</t>
  </si>
  <si>
    <t>BDGP</t>
  </si>
  <si>
    <t>BLND</t>
  </si>
  <si>
    <t>DEAF</t>
  </si>
  <si>
    <t>DPNA</t>
  </si>
  <si>
    <t>LNYD</t>
  </si>
  <si>
    <t>MAAS</t>
  </si>
  <si>
    <t>MEDA</t>
  </si>
  <si>
    <t>PETC</t>
  </si>
  <si>
    <t>PREBOARD</t>
  </si>
  <si>
    <t>PREBRDAC</t>
  </si>
  <si>
    <t>PREBRDHS</t>
  </si>
  <si>
    <t>STCR</t>
  </si>
  <si>
    <t>WCBD</t>
  </si>
  <si>
    <t>WCBW</t>
  </si>
  <si>
    <t>WCHC</t>
  </si>
  <si>
    <t>WCHR</t>
  </si>
  <si>
    <t>WCHS</t>
  </si>
  <si>
    <t>WCLB</t>
  </si>
  <si>
    <t>WCMP</t>
  </si>
  <si>
    <t>Baseline</t>
  </si>
  <si>
    <t>4 Weeks Before Trial</t>
  </si>
  <si>
    <t>Trial</t>
  </si>
  <si>
    <t>Change vs 4 Weeks Before</t>
  </si>
  <si>
    <t>Change vs 4 Weeks Before %</t>
  </si>
  <si>
    <t>PRM Jobs Per Week</t>
  </si>
  <si>
    <t>Unique Passengers Per Week</t>
  </si>
  <si>
    <t>Average Service Time (mins)</t>
  </si>
  <si>
    <t>Average Agent Service Time (mins)</t>
  </si>
  <si>
    <t>Minibus Journeys</t>
  </si>
  <si>
    <t>Minibus Passengers Per Week</t>
  </si>
  <si>
    <t>Passengers Per Minibus Journey Per Week</t>
  </si>
  <si>
    <t>Ambulift Jobs Per Week</t>
  </si>
  <si>
    <t>Minibus Share %</t>
  </si>
  <si>
    <t>Ambulift Share %</t>
  </si>
  <si>
    <t>Minibus Jobs per 100 PRMs</t>
  </si>
  <si>
    <t>Ambulift Jobs per 100 PRMs</t>
  </si>
  <si>
    <t>Minibus : Ambulift Ratio</t>
  </si>
  <si>
    <t>Ambulift Hours Per Week</t>
  </si>
  <si>
    <t>WCHR Ambulift Jobs Per Week</t>
  </si>
  <si>
    <t>WCHR Using Ambulift %</t>
  </si>
  <si>
    <t>Expected Ambulift Jobs</t>
  </si>
  <si>
    <t>Weekday</t>
  </si>
  <si>
    <t>PRM_Jobs</t>
  </si>
  <si>
    <t>Ambulift_Jobs</t>
  </si>
  <si>
    <t>Minibus_Jobs</t>
  </si>
  <si>
    <t>Friday</t>
  </si>
  <si>
    <t>Monday</t>
  </si>
  <si>
    <t>Thursday</t>
  </si>
  <si>
    <t>Tuesday</t>
  </si>
  <si>
    <t>Wednesday</t>
  </si>
  <si>
    <t>PRM_Jobs_4W</t>
  </si>
  <si>
    <t>Ambulift_Jobs_4W</t>
  </si>
  <si>
    <t>Minibus_Jobs_4W</t>
  </si>
  <si>
    <t>Ambulift Share %_4W</t>
  </si>
  <si>
    <t>Minibus Share %_4W</t>
  </si>
  <si>
    <t>PRM_Jobs_Trial</t>
  </si>
  <si>
    <t>Ambulift_Jobs_Trial</t>
  </si>
  <si>
    <t>Minibus_Jobs_Trial</t>
  </si>
  <si>
    <t>Ambulift Share %_Trial</t>
  </si>
  <si>
    <t>Minibus Share %_Trial</t>
  </si>
  <si>
    <t>Minibus Share Change</t>
  </si>
  <si>
    <t>Ambulift Share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</si>
</sst>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>
        <v>59175</v>
      </c>
    </row>
    <row r="7" spans="1:2">
      <c r="A7" t="s">
        <v>11</v>
      </c>
      <c r="B7">
        <v>28857</v>
      </c>
    </row>
    <row r="8" spans="1:2">
      <c r="A8" t="s">
        <v>12</v>
      </c>
      <c r="B8">
        <v>20</v>
      </c>
    </row>
    <row r="9" spans="1:2">
      <c r="A9" t="s">
        <v>13</v>
      </c>
      <c r="B9">
        <v>12409</v>
      </c>
    </row>
    <row r="10" spans="1:2">
      <c r="A10" t="s">
        <v>14</v>
      </c>
      <c r="B10">
        <v>2243</v>
      </c>
    </row>
    <row r="11" spans="1:2">
      <c r="A11" t="s">
        <v>15</v>
      </c>
      <c r="B11">
        <v>21658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opLeftCell="P1" workbookViewId="0"/>
  </sheetViews>
  <sheetFormatPr defaultRowHeight="14.45"/>
  <sheetData>
    <row r="1" spans="1:2">
      <c r="A1" s="1" t="s">
        <v>16</v>
      </c>
      <c r="B1" s="1" t="s">
        <v>17</v>
      </c>
    </row>
    <row r="2" spans="1:2">
      <c r="A2" t="s">
        <v>18</v>
      </c>
      <c r="B2">
        <v>16.553677731026958</v>
      </c>
    </row>
    <row r="3" spans="1:2">
      <c r="A3" t="s">
        <v>19</v>
      </c>
      <c r="B3">
        <v>13.15359880112835</v>
      </c>
    </row>
    <row r="4" spans="1:2">
      <c r="A4" t="s">
        <v>20</v>
      </c>
      <c r="B4">
        <v>21.95755068215465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5"/>
  <sheetData>
    <row r="1" spans="1:2">
      <c r="A1" s="1" t="s">
        <v>16</v>
      </c>
      <c r="B1" s="1" t="s">
        <v>17</v>
      </c>
    </row>
    <row r="2" spans="1:2">
      <c r="A2" t="s">
        <v>18</v>
      </c>
      <c r="B2">
        <v>14.70830784913354</v>
      </c>
    </row>
    <row r="3" spans="1:2">
      <c r="A3" t="s">
        <v>19</v>
      </c>
      <c r="B3">
        <v>13.22543859649123</v>
      </c>
    </row>
    <row r="4" spans="1:2">
      <c r="A4" t="s">
        <v>20</v>
      </c>
      <c r="B4">
        <v>20.2403156384505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defaultRowHeight="14.45"/>
  <sheetData>
    <row r="1" spans="1:6">
      <c r="A1" s="1" t="s">
        <v>16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t="s">
        <v>18</v>
      </c>
      <c r="B2" t="s">
        <v>26</v>
      </c>
      <c r="C2">
        <v>43.042986425339372</v>
      </c>
      <c r="D2">
        <v>4.2102496714848883</v>
      </c>
      <c r="E2">
        <v>3536</v>
      </c>
      <c r="F2">
        <v>1522</v>
      </c>
    </row>
    <row r="3" spans="1:6">
      <c r="A3" t="s">
        <v>18</v>
      </c>
      <c r="B3" t="s">
        <v>27</v>
      </c>
      <c r="C3">
        <v>21.01244343891403</v>
      </c>
      <c r="D3">
        <v>2.4535666218034988</v>
      </c>
      <c r="E3">
        <v>3536</v>
      </c>
      <c r="F3">
        <v>743</v>
      </c>
    </row>
    <row r="4" spans="1:6">
      <c r="A4" t="s">
        <v>18</v>
      </c>
      <c r="B4" t="s">
        <v>28</v>
      </c>
      <c r="C4">
        <v>55.684389140271492</v>
      </c>
      <c r="D4">
        <v>3.4032503809040122</v>
      </c>
      <c r="E4">
        <v>3536</v>
      </c>
      <c r="F4">
        <v>1969</v>
      </c>
    </row>
    <row r="5" spans="1:6">
      <c r="A5" t="s">
        <v>18</v>
      </c>
      <c r="B5" t="s">
        <v>29</v>
      </c>
      <c r="C5">
        <v>52.375565610859731</v>
      </c>
      <c r="D5">
        <v>3.6749460043196538</v>
      </c>
      <c r="E5">
        <v>3536</v>
      </c>
      <c r="F5">
        <v>1852</v>
      </c>
    </row>
    <row r="6" spans="1:6">
      <c r="A6" t="s">
        <v>18</v>
      </c>
      <c r="B6" t="s">
        <v>30</v>
      </c>
      <c r="C6">
        <v>46.380090497737562</v>
      </c>
      <c r="D6">
        <v>3.1487804878048782</v>
      </c>
      <c r="E6">
        <v>3536</v>
      </c>
      <c r="F6">
        <v>1640</v>
      </c>
    </row>
    <row r="7" spans="1:6">
      <c r="A7" t="s">
        <v>18</v>
      </c>
      <c r="B7" t="s">
        <v>31</v>
      </c>
      <c r="C7">
        <v>12.952488687782809</v>
      </c>
      <c r="D7">
        <v>2.6550218340611349</v>
      </c>
      <c r="E7">
        <v>3536</v>
      </c>
      <c r="F7">
        <v>458</v>
      </c>
    </row>
    <row r="8" spans="1:6">
      <c r="A8" t="s">
        <v>18</v>
      </c>
      <c r="B8" t="s">
        <v>32</v>
      </c>
      <c r="C8">
        <v>30.825791855203619</v>
      </c>
      <c r="D8">
        <v>2.909174311926606</v>
      </c>
      <c r="E8">
        <v>3536</v>
      </c>
      <c r="F8">
        <v>1090</v>
      </c>
    </row>
    <row r="9" spans="1:6">
      <c r="A9" t="s">
        <v>18</v>
      </c>
      <c r="B9" t="s">
        <v>33</v>
      </c>
      <c r="C9">
        <v>32.579185520361989</v>
      </c>
      <c r="D9">
        <v>2.9748263888888888</v>
      </c>
      <c r="E9">
        <v>3536</v>
      </c>
      <c r="F9">
        <v>1152</v>
      </c>
    </row>
    <row r="10" spans="1:6">
      <c r="A10" t="s">
        <v>18</v>
      </c>
      <c r="B10" t="s">
        <v>34</v>
      </c>
      <c r="C10">
        <v>30.062217194570131</v>
      </c>
      <c r="D10">
        <v>3.111006585136407</v>
      </c>
      <c r="E10">
        <v>3536</v>
      </c>
      <c r="F10">
        <v>1063</v>
      </c>
    </row>
    <row r="11" spans="1:6">
      <c r="A11" t="s">
        <v>18</v>
      </c>
      <c r="B11" t="s">
        <v>35</v>
      </c>
      <c r="C11">
        <v>26.216063348416291</v>
      </c>
      <c r="D11">
        <v>2.9309600862998919</v>
      </c>
      <c r="E11">
        <v>3536</v>
      </c>
      <c r="F11">
        <v>927</v>
      </c>
    </row>
    <row r="12" spans="1:6">
      <c r="A12" t="s">
        <v>18</v>
      </c>
      <c r="B12" t="s">
        <v>36</v>
      </c>
      <c r="C12">
        <v>26.809954751131219</v>
      </c>
      <c r="D12">
        <v>3.0158227848101271</v>
      </c>
      <c r="E12">
        <v>3536</v>
      </c>
      <c r="F12">
        <v>948</v>
      </c>
    </row>
    <row r="13" spans="1:6">
      <c r="A13" t="s">
        <v>18</v>
      </c>
      <c r="B13" t="s">
        <v>37</v>
      </c>
      <c r="C13">
        <v>10.067873303167421</v>
      </c>
      <c r="D13">
        <v>2.671348314606742</v>
      </c>
      <c r="E13">
        <v>3536</v>
      </c>
      <c r="F13">
        <v>356</v>
      </c>
    </row>
    <row r="14" spans="1:6">
      <c r="A14" t="s">
        <v>18</v>
      </c>
      <c r="B14" t="s">
        <v>38</v>
      </c>
      <c r="C14">
        <v>7.2963800904977383</v>
      </c>
      <c r="D14">
        <v>2.6511627906976738</v>
      </c>
      <c r="E14">
        <v>3536</v>
      </c>
      <c r="F14">
        <v>258</v>
      </c>
    </row>
    <row r="15" spans="1:6">
      <c r="A15" t="s">
        <v>18</v>
      </c>
      <c r="B15" t="s">
        <v>39</v>
      </c>
      <c r="C15">
        <v>9.8133484162895925</v>
      </c>
      <c r="D15">
        <v>2.7463976945244961</v>
      </c>
      <c r="E15">
        <v>3536</v>
      </c>
      <c r="F15">
        <v>347</v>
      </c>
    </row>
    <row r="16" spans="1:6">
      <c r="A16" t="s">
        <v>18</v>
      </c>
      <c r="B16" t="s">
        <v>40</v>
      </c>
      <c r="C16">
        <v>1.0463800904977369</v>
      </c>
      <c r="D16">
        <v>2.3243243243243241</v>
      </c>
      <c r="E16">
        <v>3536</v>
      </c>
      <c r="F16">
        <v>37</v>
      </c>
    </row>
    <row r="17" spans="1:6">
      <c r="A17" t="s">
        <v>18</v>
      </c>
      <c r="B17" t="s">
        <v>41</v>
      </c>
      <c r="C17">
        <v>5.5147058823529411</v>
      </c>
      <c r="D17">
        <v>3.0051282051282051</v>
      </c>
      <c r="E17">
        <v>3536</v>
      </c>
      <c r="F17">
        <v>195</v>
      </c>
    </row>
    <row r="18" spans="1:6">
      <c r="A18" t="s">
        <v>18</v>
      </c>
      <c r="B18" t="s">
        <v>42</v>
      </c>
      <c r="C18">
        <v>7.7205882352941178</v>
      </c>
      <c r="D18">
        <v>2.36996336996337</v>
      </c>
      <c r="E18">
        <v>3536</v>
      </c>
      <c r="F18">
        <v>273</v>
      </c>
    </row>
    <row r="19" spans="1:6">
      <c r="A19" t="s">
        <v>19</v>
      </c>
      <c r="B19" t="s">
        <v>43</v>
      </c>
      <c r="C19">
        <v>19.73981900452489</v>
      </c>
      <c r="D19">
        <v>3</v>
      </c>
      <c r="E19">
        <v>3536</v>
      </c>
      <c r="F19">
        <v>698</v>
      </c>
    </row>
    <row r="20" spans="1:6">
      <c r="A20" t="s">
        <v>19</v>
      </c>
      <c r="B20" t="s">
        <v>44</v>
      </c>
      <c r="C20">
        <v>24.095022624434389</v>
      </c>
      <c r="D20">
        <v>2.895539906103286</v>
      </c>
      <c r="E20">
        <v>3536</v>
      </c>
      <c r="F20">
        <v>852</v>
      </c>
    </row>
    <row r="21" spans="1:6">
      <c r="A21" t="s">
        <v>19</v>
      </c>
      <c r="B21" t="s">
        <v>45</v>
      </c>
      <c r="C21">
        <v>23.614253393665159</v>
      </c>
      <c r="D21">
        <v>2.827544910179641</v>
      </c>
      <c r="E21">
        <v>3536</v>
      </c>
      <c r="F21">
        <v>835</v>
      </c>
    </row>
    <row r="22" spans="1:6">
      <c r="A22" t="s">
        <v>20</v>
      </c>
      <c r="B22" t="s">
        <v>46</v>
      </c>
      <c r="C22">
        <v>90.893665158371036</v>
      </c>
      <c r="D22">
        <v>25.808960796515251</v>
      </c>
      <c r="E22">
        <v>3536</v>
      </c>
      <c r="F22">
        <v>3214</v>
      </c>
    </row>
    <row r="23" spans="1:6">
      <c r="A23" t="s">
        <v>47</v>
      </c>
      <c r="B23" t="s">
        <v>48</v>
      </c>
      <c r="C23">
        <v>24.670614852275751</v>
      </c>
      <c r="D23">
        <v>3.2033715441672288</v>
      </c>
      <c r="E23">
        <v>60112</v>
      </c>
      <c r="F23">
        <v>14830</v>
      </c>
    </row>
    <row r="24" spans="1:6">
      <c r="A24" t="s">
        <v>49</v>
      </c>
      <c r="B24" t="s">
        <v>48</v>
      </c>
      <c r="C24">
        <v>22.483031674208149</v>
      </c>
      <c r="D24">
        <v>2.9023060796645699</v>
      </c>
      <c r="E24">
        <v>10608</v>
      </c>
      <c r="F24">
        <v>2385</v>
      </c>
    </row>
    <row r="25" spans="1:6">
      <c r="A25" t="s">
        <v>50</v>
      </c>
      <c r="B25" t="s">
        <v>48</v>
      </c>
      <c r="C25">
        <v>24.342477375565611</v>
      </c>
      <c r="D25">
        <v>3.1616613418530348</v>
      </c>
      <c r="E25">
        <v>70720</v>
      </c>
      <c r="F25">
        <v>17215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/>
  </sheetViews>
  <sheetFormatPr defaultRowHeight="14.45"/>
  <sheetData>
    <row r="1" spans="1:6">
      <c r="A1" s="1" t="s">
        <v>16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t="s">
        <v>18</v>
      </c>
      <c r="B2" t="s">
        <v>26</v>
      </c>
      <c r="C2">
        <v>17.1875</v>
      </c>
      <c r="D2">
        <v>7.2727272727272716</v>
      </c>
      <c r="E2">
        <v>64</v>
      </c>
      <c r="F2">
        <v>11</v>
      </c>
    </row>
    <row r="3" spans="1:6">
      <c r="A3" t="s">
        <v>18</v>
      </c>
      <c r="B3" t="s">
        <v>27</v>
      </c>
      <c r="C3">
        <v>3.125</v>
      </c>
      <c r="D3">
        <v>1</v>
      </c>
      <c r="E3">
        <v>64</v>
      </c>
      <c r="F3">
        <v>2</v>
      </c>
    </row>
    <row r="4" spans="1:6">
      <c r="A4" t="s">
        <v>18</v>
      </c>
      <c r="B4" t="s">
        <v>28</v>
      </c>
      <c r="C4">
        <v>42.1875</v>
      </c>
      <c r="D4">
        <v>3.481481481481481</v>
      </c>
      <c r="E4">
        <v>64</v>
      </c>
      <c r="F4">
        <v>27</v>
      </c>
    </row>
    <row r="5" spans="1:6">
      <c r="A5" t="s">
        <v>18</v>
      </c>
      <c r="B5" t="s">
        <v>29</v>
      </c>
      <c r="C5">
        <v>65.625</v>
      </c>
      <c r="D5">
        <v>2.785714285714286</v>
      </c>
      <c r="E5">
        <v>64</v>
      </c>
      <c r="F5">
        <v>42</v>
      </c>
    </row>
    <row r="6" spans="1:6">
      <c r="A6" t="s">
        <v>18</v>
      </c>
      <c r="B6" t="s">
        <v>30</v>
      </c>
      <c r="C6">
        <v>56.25</v>
      </c>
      <c r="D6">
        <v>2.833333333333333</v>
      </c>
      <c r="E6">
        <v>64</v>
      </c>
      <c r="F6">
        <v>36</v>
      </c>
    </row>
    <row r="7" spans="1:6">
      <c r="A7" t="s">
        <v>18</v>
      </c>
      <c r="B7" t="s">
        <v>32</v>
      </c>
      <c r="C7">
        <v>60.9375</v>
      </c>
      <c r="D7">
        <v>2.9230769230769229</v>
      </c>
      <c r="E7">
        <v>64</v>
      </c>
      <c r="F7">
        <v>39</v>
      </c>
    </row>
    <row r="8" spans="1:6">
      <c r="A8" t="s">
        <v>18</v>
      </c>
      <c r="B8" t="s">
        <v>33</v>
      </c>
      <c r="C8">
        <v>60.9375</v>
      </c>
      <c r="D8">
        <v>3.8974358974358969</v>
      </c>
      <c r="E8">
        <v>64</v>
      </c>
      <c r="F8">
        <v>39</v>
      </c>
    </row>
    <row r="9" spans="1:6">
      <c r="A9" t="s">
        <v>18</v>
      </c>
      <c r="B9" t="s">
        <v>34</v>
      </c>
      <c r="C9">
        <v>57.8125</v>
      </c>
      <c r="D9">
        <v>2.8648648648648649</v>
      </c>
      <c r="E9">
        <v>64</v>
      </c>
      <c r="F9">
        <v>37</v>
      </c>
    </row>
    <row r="10" spans="1:6">
      <c r="A10" t="s">
        <v>18</v>
      </c>
      <c r="B10" t="s">
        <v>35</v>
      </c>
      <c r="C10">
        <v>56.25</v>
      </c>
      <c r="D10">
        <v>2.833333333333333</v>
      </c>
      <c r="E10">
        <v>64</v>
      </c>
      <c r="F10">
        <v>36</v>
      </c>
    </row>
    <row r="11" spans="1:6">
      <c r="A11" t="s">
        <v>18</v>
      </c>
      <c r="B11" t="s">
        <v>36</v>
      </c>
      <c r="C11">
        <v>51.5625</v>
      </c>
      <c r="D11">
        <v>2.9090909090909092</v>
      </c>
      <c r="E11">
        <v>64</v>
      </c>
      <c r="F11">
        <v>33</v>
      </c>
    </row>
    <row r="12" spans="1:6">
      <c r="A12" t="s">
        <v>18</v>
      </c>
      <c r="B12" t="s">
        <v>37</v>
      </c>
      <c r="C12">
        <v>0</v>
      </c>
      <c r="D12">
        <v>0</v>
      </c>
      <c r="E12">
        <v>64</v>
      </c>
      <c r="F12">
        <v>0</v>
      </c>
    </row>
    <row r="13" spans="1:6">
      <c r="A13" t="s">
        <v>18</v>
      </c>
      <c r="B13" t="s">
        <v>39</v>
      </c>
      <c r="C13">
        <v>20.3125</v>
      </c>
      <c r="D13">
        <v>1.538461538461539</v>
      </c>
      <c r="E13">
        <v>64</v>
      </c>
      <c r="F13">
        <v>13</v>
      </c>
    </row>
    <row r="14" spans="1:6">
      <c r="A14" t="s">
        <v>19</v>
      </c>
      <c r="B14" t="s">
        <v>43</v>
      </c>
      <c r="C14">
        <v>25</v>
      </c>
      <c r="D14">
        <v>2.625</v>
      </c>
      <c r="E14">
        <v>64</v>
      </c>
      <c r="F14">
        <v>16</v>
      </c>
    </row>
    <row r="15" spans="1:6">
      <c r="A15" t="s">
        <v>19</v>
      </c>
      <c r="B15" t="s">
        <v>44</v>
      </c>
      <c r="C15">
        <v>23.4375</v>
      </c>
      <c r="D15">
        <v>3.2</v>
      </c>
      <c r="E15">
        <v>64</v>
      </c>
      <c r="F15">
        <v>15</v>
      </c>
    </row>
    <row r="16" spans="1:6">
      <c r="A16" t="s">
        <v>19</v>
      </c>
      <c r="B16" t="s">
        <v>45</v>
      </c>
      <c r="C16">
        <v>71.875</v>
      </c>
      <c r="D16">
        <v>4.6521739130434776</v>
      </c>
      <c r="E16">
        <v>64</v>
      </c>
      <c r="F16">
        <v>46</v>
      </c>
    </row>
    <row r="17" spans="1:6">
      <c r="A17" t="s">
        <v>20</v>
      </c>
      <c r="B17" t="s">
        <v>46</v>
      </c>
      <c r="C17">
        <v>100</v>
      </c>
      <c r="D17">
        <v>30.953125</v>
      </c>
      <c r="E17">
        <v>64</v>
      </c>
      <c r="F17">
        <v>64</v>
      </c>
    </row>
    <row r="18" spans="1:6">
      <c r="A18" t="s">
        <v>47</v>
      </c>
      <c r="B18" t="s">
        <v>48</v>
      </c>
      <c r="C18">
        <v>41.015625</v>
      </c>
      <c r="D18">
        <v>3.126984126984127</v>
      </c>
      <c r="E18">
        <v>768</v>
      </c>
      <c r="F18">
        <v>315</v>
      </c>
    </row>
    <row r="19" spans="1:6">
      <c r="A19" t="s">
        <v>49</v>
      </c>
      <c r="B19" t="s">
        <v>48</v>
      </c>
      <c r="C19">
        <v>40.104166666666671</v>
      </c>
      <c r="D19">
        <v>3.948051948051948</v>
      </c>
      <c r="E19">
        <v>192</v>
      </c>
      <c r="F19">
        <v>77</v>
      </c>
    </row>
    <row r="20" spans="1:6">
      <c r="A20" t="s">
        <v>50</v>
      </c>
      <c r="B20" t="s">
        <v>48</v>
      </c>
      <c r="C20">
        <v>40.833333333333343</v>
      </c>
      <c r="D20">
        <v>3.2882653061224492</v>
      </c>
      <c r="E20">
        <v>960</v>
      </c>
      <c r="F20">
        <v>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defaultRowHeight="14.45"/>
  <sheetData>
    <row r="1" spans="1:6">
      <c r="A1" s="1" t="s">
        <v>16</v>
      </c>
      <c r="B1" s="1" t="s">
        <v>21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18</v>
      </c>
      <c r="B2" t="s">
        <v>26</v>
      </c>
      <c r="C2">
        <v>0</v>
      </c>
      <c r="D2">
        <v>3.457290816510898</v>
      </c>
      <c r="E2">
        <v>3</v>
      </c>
      <c r="F2">
        <v>4.2039590958503252</v>
      </c>
    </row>
    <row r="3" spans="1:6">
      <c r="A3" t="s">
        <v>18</v>
      </c>
      <c r="B3" t="s">
        <v>27</v>
      </c>
      <c r="C3">
        <v>0</v>
      </c>
      <c r="D3">
        <v>1.2717724335026559</v>
      </c>
      <c r="E3">
        <v>2</v>
      </c>
      <c r="F3">
        <v>1.715320894703521</v>
      </c>
    </row>
    <row r="4" spans="1:6">
      <c r="A4" t="s">
        <v>18</v>
      </c>
      <c r="B4" t="s">
        <v>28</v>
      </c>
      <c r="C4">
        <v>1</v>
      </c>
      <c r="D4">
        <v>2.8085637048547412</v>
      </c>
      <c r="E4">
        <v>2</v>
      </c>
      <c r="F4">
        <v>3.0054816347064488</v>
      </c>
    </row>
    <row r="5" spans="1:6">
      <c r="A5" t="s">
        <v>18</v>
      </c>
      <c r="B5" t="s">
        <v>29</v>
      </c>
      <c r="C5">
        <v>1</v>
      </c>
      <c r="D5">
        <v>3.0708079350804192</v>
      </c>
      <c r="E5">
        <v>3</v>
      </c>
      <c r="F5">
        <v>3.401841507923705</v>
      </c>
    </row>
    <row r="6" spans="1:6">
      <c r="A6" t="s">
        <v>18</v>
      </c>
      <c r="B6" t="s">
        <v>30</v>
      </c>
      <c r="C6">
        <v>0</v>
      </c>
      <c r="D6">
        <v>2.3416150238945299</v>
      </c>
      <c r="E6">
        <v>2</v>
      </c>
      <c r="F6">
        <v>2.5506691566991488</v>
      </c>
    </row>
    <row r="7" spans="1:6">
      <c r="A7" t="s">
        <v>18</v>
      </c>
      <c r="B7" t="s">
        <v>31</v>
      </c>
      <c r="C7">
        <v>0</v>
      </c>
      <c r="D7">
        <v>1.1159867767783751</v>
      </c>
      <c r="E7">
        <v>2</v>
      </c>
      <c r="F7">
        <v>1.8652729934609109</v>
      </c>
    </row>
    <row r="8" spans="1:6">
      <c r="A8" t="s">
        <v>18</v>
      </c>
      <c r="B8" t="s">
        <v>32</v>
      </c>
      <c r="C8">
        <v>0</v>
      </c>
      <c r="D8">
        <v>1.900324695895969</v>
      </c>
      <c r="E8">
        <v>2</v>
      </c>
      <c r="F8">
        <v>2.4208589454645089</v>
      </c>
    </row>
    <row r="9" spans="1:6">
      <c r="A9" t="s">
        <v>18</v>
      </c>
      <c r="B9" t="s">
        <v>33</v>
      </c>
      <c r="C9">
        <v>0</v>
      </c>
      <c r="D9">
        <v>2.0670081328420631</v>
      </c>
      <c r="E9">
        <v>2</v>
      </c>
      <c r="F9">
        <v>2.673537691767899</v>
      </c>
    </row>
    <row r="10" spans="1:6">
      <c r="A10" t="s">
        <v>18</v>
      </c>
      <c r="B10" t="s">
        <v>34</v>
      </c>
      <c r="C10">
        <v>0</v>
      </c>
      <c r="D10">
        <v>1.926254175125077</v>
      </c>
      <c r="E10">
        <v>2</v>
      </c>
      <c r="F10">
        <v>2.3608800643458538</v>
      </c>
    </row>
    <row r="11" spans="1:6">
      <c r="A11" t="s">
        <v>18</v>
      </c>
      <c r="B11" t="s">
        <v>35</v>
      </c>
      <c r="C11">
        <v>0</v>
      </c>
      <c r="D11">
        <v>1.863050546273268</v>
      </c>
      <c r="E11">
        <v>2</v>
      </c>
      <c r="F11">
        <v>2.6270482214131889</v>
      </c>
    </row>
    <row r="12" spans="1:6">
      <c r="A12" t="s">
        <v>18</v>
      </c>
      <c r="B12" t="s">
        <v>36</v>
      </c>
      <c r="C12">
        <v>0</v>
      </c>
      <c r="D12">
        <v>1.8511783936655419</v>
      </c>
      <c r="E12">
        <v>2</v>
      </c>
      <c r="F12">
        <v>2.474929709232403</v>
      </c>
    </row>
    <row r="13" spans="1:6">
      <c r="A13" t="s">
        <v>18</v>
      </c>
      <c r="B13" t="s">
        <v>37</v>
      </c>
      <c r="C13">
        <v>0</v>
      </c>
      <c r="D13">
        <v>0.99677512906659049</v>
      </c>
      <c r="E13">
        <v>2</v>
      </c>
      <c r="F13">
        <v>1.8576804982916499</v>
      </c>
    </row>
    <row r="14" spans="1:6">
      <c r="A14" t="s">
        <v>18</v>
      </c>
      <c r="B14" t="s">
        <v>38</v>
      </c>
      <c r="C14">
        <v>0</v>
      </c>
      <c r="D14">
        <v>0.86270249488731265</v>
      </c>
      <c r="E14">
        <v>2</v>
      </c>
      <c r="F14">
        <v>1.919508830871524</v>
      </c>
    </row>
    <row r="15" spans="1:6">
      <c r="A15" t="s">
        <v>18</v>
      </c>
      <c r="B15" t="s">
        <v>39</v>
      </c>
      <c r="C15">
        <v>0</v>
      </c>
      <c r="D15">
        <v>1.0432059828559299</v>
      </c>
      <c r="E15">
        <v>2</v>
      </c>
      <c r="F15">
        <v>2.0705725983569692</v>
      </c>
    </row>
    <row r="16" spans="1:6">
      <c r="A16" t="s">
        <v>18</v>
      </c>
      <c r="B16" t="s">
        <v>40</v>
      </c>
      <c r="C16">
        <v>0</v>
      </c>
      <c r="D16">
        <v>0.2658485363865058</v>
      </c>
      <c r="E16">
        <v>2</v>
      </c>
      <c r="F16">
        <v>1.1867296432486569</v>
      </c>
    </row>
    <row r="17" spans="1:6">
      <c r="A17" t="s">
        <v>18</v>
      </c>
      <c r="B17" t="s">
        <v>41</v>
      </c>
      <c r="C17">
        <v>0</v>
      </c>
      <c r="D17">
        <v>0.87655578342799567</v>
      </c>
      <c r="E17">
        <v>2</v>
      </c>
      <c r="F17">
        <v>2.3237843491839261</v>
      </c>
    </row>
    <row r="18" spans="1:6">
      <c r="A18" t="s">
        <v>18</v>
      </c>
      <c r="B18" t="s">
        <v>42</v>
      </c>
      <c r="C18">
        <v>0</v>
      </c>
      <c r="D18">
        <v>0.79032167075947368</v>
      </c>
      <c r="E18">
        <v>2</v>
      </c>
      <c r="F18">
        <v>1.7050170523608821</v>
      </c>
    </row>
    <row r="19" spans="1:6">
      <c r="A19" t="s">
        <v>19</v>
      </c>
      <c r="B19" t="s">
        <v>43</v>
      </c>
      <c r="C19">
        <v>0</v>
      </c>
      <c r="D19">
        <v>1.5333716666303749</v>
      </c>
      <c r="E19">
        <v>2</v>
      </c>
      <c r="F19">
        <v>2.165104866535235</v>
      </c>
    </row>
    <row r="20" spans="1:6">
      <c r="A20" t="s">
        <v>19</v>
      </c>
      <c r="B20" t="s">
        <v>44</v>
      </c>
      <c r="C20">
        <v>0</v>
      </c>
      <c r="D20">
        <v>1.697234657301848</v>
      </c>
      <c r="E20">
        <v>2</v>
      </c>
      <c r="F20">
        <v>2.3645720045791441</v>
      </c>
    </row>
    <row r="21" spans="1:6">
      <c r="A21" t="s">
        <v>19</v>
      </c>
      <c r="B21" t="s">
        <v>45</v>
      </c>
      <c r="C21">
        <v>0</v>
      </c>
      <c r="D21">
        <v>1.585296530189046</v>
      </c>
      <c r="E21">
        <v>2</v>
      </c>
      <c r="F21">
        <v>2.1296780749852542</v>
      </c>
    </row>
    <row r="22" spans="1:6">
      <c r="A22" t="s">
        <v>20</v>
      </c>
      <c r="B22" t="s">
        <v>46</v>
      </c>
      <c r="C22">
        <v>21</v>
      </c>
      <c r="D22">
        <v>16.243759432745129</v>
      </c>
      <c r="E22">
        <v>23</v>
      </c>
      <c r="F22">
        <v>15.15379261419341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/>
  </sheetViews>
  <sheetFormatPr defaultRowHeight="14.45"/>
  <sheetData>
    <row r="1" spans="1:6">
      <c r="A1" s="1" t="s">
        <v>16</v>
      </c>
      <c r="B1" s="1" t="s">
        <v>21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18</v>
      </c>
      <c r="B2" t="s">
        <v>26</v>
      </c>
      <c r="C2">
        <v>0</v>
      </c>
      <c r="D2">
        <v>3.6912057650583501</v>
      </c>
      <c r="E2">
        <v>6</v>
      </c>
      <c r="F2">
        <v>5.9557597651487999</v>
      </c>
    </row>
    <row r="3" spans="1:6">
      <c r="A3" t="s">
        <v>18</v>
      </c>
      <c r="B3" t="s">
        <v>27</v>
      </c>
      <c r="C3">
        <v>0</v>
      </c>
      <c r="D3">
        <v>0.1739926363384382</v>
      </c>
      <c r="E3">
        <v>1</v>
      </c>
      <c r="F3">
        <v>0</v>
      </c>
    </row>
    <row r="4" spans="1:6">
      <c r="A4" t="s">
        <v>18</v>
      </c>
      <c r="B4" t="s">
        <v>28</v>
      </c>
      <c r="C4">
        <v>0</v>
      </c>
      <c r="D4">
        <v>2.591866786217996</v>
      </c>
      <c r="E4">
        <v>3</v>
      </c>
      <c r="F4">
        <v>2.9860213882587221</v>
      </c>
    </row>
    <row r="5" spans="1:6">
      <c r="A5" t="s">
        <v>18</v>
      </c>
      <c r="B5" t="s">
        <v>29</v>
      </c>
      <c r="C5">
        <v>2</v>
      </c>
      <c r="D5">
        <v>1.7280289304218841</v>
      </c>
      <c r="E5">
        <v>3</v>
      </c>
      <c r="F5">
        <v>1.3720980508784679</v>
      </c>
    </row>
    <row r="6" spans="1:6">
      <c r="A6" t="s">
        <v>18</v>
      </c>
      <c r="B6" t="s">
        <v>30</v>
      </c>
      <c r="C6">
        <v>1</v>
      </c>
      <c r="D6">
        <v>1.868478241109593</v>
      </c>
      <c r="E6">
        <v>2</v>
      </c>
      <c r="F6">
        <v>1.6414763002993511</v>
      </c>
    </row>
    <row r="7" spans="1:6">
      <c r="A7" t="s">
        <v>18</v>
      </c>
      <c r="B7" t="s">
        <v>32</v>
      </c>
      <c r="C7">
        <v>2</v>
      </c>
      <c r="D7">
        <v>1.7630650689920659</v>
      </c>
      <c r="E7">
        <v>3</v>
      </c>
      <c r="F7">
        <v>1.327898192433236</v>
      </c>
    </row>
    <row r="8" spans="1:6">
      <c r="A8" t="s">
        <v>18</v>
      </c>
      <c r="B8" t="s">
        <v>33</v>
      </c>
      <c r="C8">
        <v>1.5</v>
      </c>
      <c r="D8">
        <v>2.7357585785299108</v>
      </c>
      <c r="E8">
        <v>3</v>
      </c>
      <c r="F8">
        <v>2.5196140505719469</v>
      </c>
    </row>
    <row r="9" spans="1:6">
      <c r="A9" t="s">
        <v>18</v>
      </c>
      <c r="B9" t="s">
        <v>34</v>
      </c>
      <c r="C9">
        <v>1</v>
      </c>
      <c r="D9">
        <v>2.1155580676266008</v>
      </c>
      <c r="E9">
        <v>2</v>
      </c>
      <c r="F9">
        <v>2.068583039800266</v>
      </c>
    </row>
    <row r="10" spans="1:6">
      <c r="A10" t="s">
        <v>18</v>
      </c>
      <c r="B10" t="s">
        <v>35</v>
      </c>
      <c r="C10">
        <v>1</v>
      </c>
      <c r="D10">
        <v>1.893399307462639</v>
      </c>
      <c r="E10">
        <v>2</v>
      </c>
      <c r="F10">
        <v>1.6914819275153701</v>
      </c>
    </row>
    <row r="11" spans="1:6">
      <c r="A11" t="s">
        <v>18</v>
      </c>
      <c r="B11" t="s">
        <v>36</v>
      </c>
      <c r="C11">
        <v>1</v>
      </c>
      <c r="D11">
        <v>1.887458608817687</v>
      </c>
      <c r="E11">
        <v>3</v>
      </c>
      <c r="F11">
        <v>1.6762808104168889</v>
      </c>
    </row>
    <row r="12" spans="1:6">
      <c r="A12" t="s">
        <v>18</v>
      </c>
      <c r="B12" t="s">
        <v>37</v>
      </c>
      <c r="C12">
        <v>0</v>
      </c>
      <c r="D12">
        <v>0</v>
      </c>
      <c r="E12">
        <v>0</v>
      </c>
      <c r="F12">
        <v>0</v>
      </c>
    </row>
    <row r="13" spans="1:6">
      <c r="A13" t="s">
        <v>18</v>
      </c>
      <c r="B13" t="s">
        <v>39</v>
      </c>
      <c r="C13">
        <v>0</v>
      </c>
      <c r="D13">
        <v>0.68179450716473211</v>
      </c>
      <c r="E13">
        <v>1</v>
      </c>
      <c r="F13">
        <v>0.63432394240271706</v>
      </c>
    </row>
    <row r="14" spans="1:6">
      <c r="A14" t="s">
        <v>19</v>
      </c>
      <c r="B14" t="s">
        <v>43</v>
      </c>
      <c r="C14">
        <v>0</v>
      </c>
      <c r="D14">
        <v>1.4166283695803921</v>
      </c>
      <c r="E14">
        <v>2</v>
      </c>
      <c r="F14">
        <v>1.6909686573085849</v>
      </c>
    </row>
    <row r="15" spans="1:6">
      <c r="A15" t="s">
        <v>19</v>
      </c>
      <c r="B15" t="s">
        <v>44</v>
      </c>
      <c r="C15">
        <v>0</v>
      </c>
      <c r="D15">
        <v>1.610512340840641</v>
      </c>
      <c r="E15">
        <v>3</v>
      </c>
      <c r="F15">
        <v>1.796292478040997</v>
      </c>
    </row>
    <row r="16" spans="1:6">
      <c r="A16" t="s">
        <v>19</v>
      </c>
      <c r="B16" t="s">
        <v>45</v>
      </c>
      <c r="C16">
        <v>2</v>
      </c>
      <c r="D16">
        <v>3.492038936996551</v>
      </c>
      <c r="E16">
        <v>4</v>
      </c>
      <c r="F16">
        <v>3.2983354913095959</v>
      </c>
    </row>
    <row r="17" spans="1:6">
      <c r="A17" t="s">
        <v>20</v>
      </c>
      <c r="B17" t="s">
        <v>46</v>
      </c>
      <c r="C17">
        <v>28.5</v>
      </c>
      <c r="D17">
        <v>12.43411346797089</v>
      </c>
      <c r="E17">
        <v>28.5</v>
      </c>
      <c r="F17">
        <v>12.43411346797089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/>
  </sheetViews>
  <sheetFormatPr defaultRowHeight="14.45"/>
  <sheetData>
    <row r="1" spans="1:3">
      <c r="A1" s="1" t="s">
        <v>16</v>
      </c>
      <c r="B1" s="1" t="s">
        <v>21</v>
      </c>
      <c r="C1" s="1" t="s">
        <v>55</v>
      </c>
    </row>
    <row r="2" spans="1:3">
      <c r="A2" t="s">
        <v>18</v>
      </c>
      <c r="B2" t="s">
        <v>26</v>
      </c>
      <c r="C2">
        <v>1.812217194570136</v>
      </c>
    </row>
    <row r="3" spans="1:3">
      <c r="A3" t="s">
        <v>18</v>
      </c>
      <c r="B3" t="s">
        <v>27</v>
      </c>
      <c r="C3">
        <v>0.51555429864253388</v>
      </c>
    </row>
    <row r="4" spans="1:3">
      <c r="A4" t="s">
        <v>18</v>
      </c>
      <c r="B4" t="s">
        <v>28</v>
      </c>
      <c r="C4">
        <v>1.8950791855203619</v>
      </c>
    </row>
    <row r="5" spans="1:3">
      <c r="A5" t="s">
        <v>18</v>
      </c>
      <c r="B5" t="s">
        <v>29</v>
      </c>
      <c r="C5">
        <v>1.9247737556561091</v>
      </c>
    </row>
    <row r="6" spans="1:3">
      <c r="A6" t="s">
        <v>18</v>
      </c>
      <c r="B6" t="s">
        <v>30</v>
      </c>
      <c r="C6">
        <v>1.460407239819004</v>
      </c>
    </row>
    <row r="7" spans="1:3">
      <c r="A7" t="s">
        <v>18</v>
      </c>
      <c r="B7" t="s">
        <v>31</v>
      </c>
      <c r="C7">
        <v>0.34389140271493213</v>
      </c>
    </row>
    <row r="8" spans="1:3">
      <c r="A8" t="s">
        <v>18</v>
      </c>
      <c r="B8" t="s">
        <v>32</v>
      </c>
      <c r="C8">
        <v>0.89677601809954754</v>
      </c>
    </row>
    <row r="9" spans="1:3">
      <c r="A9" t="s">
        <v>18</v>
      </c>
      <c r="B9" t="s">
        <v>33</v>
      </c>
      <c r="C9">
        <v>0.96917420814479638</v>
      </c>
    </row>
    <row r="10" spans="1:3">
      <c r="A10" t="s">
        <v>18</v>
      </c>
      <c r="B10" t="s">
        <v>34</v>
      </c>
      <c r="C10">
        <v>0.93523755656108598</v>
      </c>
    </row>
    <row r="11" spans="1:3">
      <c r="A11" t="s">
        <v>18</v>
      </c>
      <c r="B11" t="s">
        <v>35</v>
      </c>
      <c r="C11">
        <v>0.76838235294117652</v>
      </c>
    </row>
    <row r="12" spans="1:3">
      <c r="A12" t="s">
        <v>18</v>
      </c>
      <c r="B12" t="s">
        <v>36</v>
      </c>
      <c r="C12">
        <v>0.80854072398190047</v>
      </c>
    </row>
    <row r="13" spans="1:3">
      <c r="A13" t="s">
        <v>18</v>
      </c>
      <c r="B13" t="s">
        <v>37</v>
      </c>
      <c r="C13">
        <v>0.26894796380090502</v>
      </c>
    </row>
    <row r="14" spans="1:3">
      <c r="A14" t="s">
        <v>18</v>
      </c>
      <c r="B14" t="s">
        <v>38</v>
      </c>
      <c r="C14">
        <v>0.1934389140271493</v>
      </c>
    </row>
    <row r="15" spans="1:3">
      <c r="A15" t="s">
        <v>18</v>
      </c>
      <c r="B15" t="s">
        <v>39</v>
      </c>
      <c r="C15">
        <v>0.26951357466063353</v>
      </c>
    </row>
    <row r="16" spans="1:3">
      <c r="A16" t="s">
        <v>18</v>
      </c>
      <c r="B16" t="s">
        <v>40</v>
      </c>
      <c r="C16">
        <v>2.4321266968325789E-2</v>
      </c>
    </row>
    <row r="17" spans="1:3">
      <c r="A17" t="s">
        <v>18</v>
      </c>
      <c r="B17" t="s">
        <v>41</v>
      </c>
      <c r="C17">
        <v>0.16572398190045251</v>
      </c>
    </row>
    <row r="18" spans="1:3">
      <c r="A18" t="s">
        <v>18</v>
      </c>
      <c r="B18" t="s">
        <v>42</v>
      </c>
      <c r="C18">
        <v>0.18297511312217191</v>
      </c>
    </row>
    <row r="19" spans="1:3">
      <c r="A19" t="s">
        <v>19</v>
      </c>
      <c r="B19" t="s">
        <v>43</v>
      </c>
      <c r="C19">
        <v>0.59219457013574661</v>
      </c>
    </row>
    <row r="20" spans="1:3">
      <c r="A20" t="s">
        <v>19</v>
      </c>
      <c r="B20" t="s">
        <v>44</v>
      </c>
      <c r="C20">
        <v>0.69768099547511309</v>
      </c>
    </row>
    <row r="21" spans="1:3">
      <c r="A21" t="s">
        <v>19</v>
      </c>
      <c r="B21" t="s">
        <v>45</v>
      </c>
      <c r="C21">
        <v>0.66770361990950222</v>
      </c>
    </row>
    <row r="22" spans="1:3">
      <c r="A22" t="s">
        <v>20</v>
      </c>
      <c r="B22" t="s">
        <v>46</v>
      </c>
      <c r="C22">
        <v>23.45871040723982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workbookViewId="0"/>
  </sheetViews>
  <sheetFormatPr defaultRowHeight="14.45"/>
  <sheetData>
    <row r="1" spans="1:3">
      <c r="A1" s="1" t="s">
        <v>16</v>
      </c>
      <c r="B1" s="1" t="s">
        <v>21</v>
      </c>
      <c r="C1" s="1" t="s">
        <v>55</v>
      </c>
    </row>
    <row r="2" spans="1:3">
      <c r="A2" t="s">
        <v>18</v>
      </c>
      <c r="B2" t="s">
        <v>26</v>
      </c>
      <c r="C2">
        <v>1.25</v>
      </c>
    </row>
    <row r="3" spans="1:3">
      <c r="A3" t="s">
        <v>18</v>
      </c>
      <c r="B3" t="s">
        <v>27</v>
      </c>
      <c r="C3">
        <v>3.125E-2</v>
      </c>
    </row>
    <row r="4" spans="1:3">
      <c r="A4" t="s">
        <v>18</v>
      </c>
      <c r="B4" t="s">
        <v>28</v>
      </c>
      <c r="C4">
        <v>1.46875</v>
      </c>
    </row>
    <row r="5" spans="1:3">
      <c r="A5" t="s">
        <v>18</v>
      </c>
      <c r="B5" t="s">
        <v>29</v>
      </c>
      <c r="C5">
        <v>1.828125</v>
      </c>
    </row>
    <row r="6" spans="1:3">
      <c r="A6" t="s">
        <v>18</v>
      </c>
      <c r="B6" t="s">
        <v>30</v>
      </c>
      <c r="C6">
        <v>1.59375</v>
      </c>
    </row>
    <row r="7" spans="1:3">
      <c r="A7" t="s">
        <v>18</v>
      </c>
      <c r="B7" t="s">
        <v>32</v>
      </c>
      <c r="C7">
        <v>1.78125</v>
      </c>
    </row>
    <row r="8" spans="1:3">
      <c r="A8" t="s">
        <v>18</v>
      </c>
      <c r="B8" t="s">
        <v>33</v>
      </c>
      <c r="C8">
        <v>2.375</v>
      </c>
    </row>
    <row r="9" spans="1:3">
      <c r="A9" t="s">
        <v>18</v>
      </c>
      <c r="B9" t="s">
        <v>34</v>
      </c>
      <c r="C9">
        <v>1.65625</v>
      </c>
    </row>
    <row r="10" spans="1:3">
      <c r="A10" t="s">
        <v>18</v>
      </c>
      <c r="B10" t="s">
        <v>35</v>
      </c>
      <c r="C10">
        <v>1.59375</v>
      </c>
    </row>
    <row r="11" spans="1:3">
      <c r="A11" t="s">
        <v>18</v>
      </c>
      <c r="B11" t="s">
        <v>36</v>
      </c>
      <c r="C11">
        <v>1.5</v>
      </c>
    </row>
    <row r="12" spans="1:3">
      <c r="A12" t="s">
        <v>18</v>
      </c>
      <c r="B12" t="s">
        <v>37</v>
      </c>
      <c r="C12">
        <v>0</v>
      </c>
    </row>
    <row r="13" spans="1:3">
      <c r="A13" t="s">
        <v>18</v>
      </c>
      <c r="B13" t="s">
        <v>39</v>
      </c>
      <c r="C13">
        <v>0.3125</v>
      </c>
    </row>
    <row r="14" spans="1:3">
      <c r="A14" t="s">
        <v>19</v>
      </c>
      <c r="B14" t="s">
        <v>43</v>
      </c>
      <c r="C14">
        <v>0.65625</v>
      </c>
    </row>
    <row r="15" spans="1:3">
      <c r="A15" t="s">
        <v>19</v>
      </c>
      <c r="B15" t="s">
        <v>44</v>
      </c>
      <c r="C15">
        <v>0.75</v>
      </c>
    </row>
    <row r="16" spans="1:3">
      <c r="A16" t="s">
        <v>19</v>
      </c>
      <c r="B16" t="s">
        <v>45</v>
      </c>
      <c r="C16">
        <v>3.34375</v>
      </c>
    </row>
    <row r="17" spans="1:3">
      <c r="A17" t="s">
        <v>20</v>
      </c>
      <c r="B17" t="s">
        <v>46</v>
      </c>
      <c r="C17">
        <v>30.953125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7"/>
  <sheetViews>
    <sheetView workbookViewId="0"/>
  </sheetViews>
  <sheetFormatPr defaultRowHeight="14.45"/>
  <sheetData>
    <row r="1" spans="1:22">
      <c r="A1" s="1" t="s">
        <v>56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46</v>
      </c>
      <c r="T1" s="1" t="s">
        <v>43</v>
      </c>
      <c r="U1" s="1" t="s">
        <v>44</v>
      </c>
      <c r="V1" s="1" t="s">
        <v>45</v>
      </c>
    </row>
    <row r="2" spans="1:22">
      <c r="A2" t="s">
        <v>57</v>
      </c>
      <c r="B2">
        <v>0.57013574660633481</v>
      </c>
      <c r="C2">
        <v>0.23529411764705879</v>
      </c>
      <c r="D2">
        <v>0.76470588235294112</v>
      </c>
      <c r="E2">
        <v>0.70135746606334837</v>
      </c>
      <c r="F2">
        <v>0.56561085972850678</v>
      </c>
      <c r="G2">
        <v>0.1809954751131222</v>
      </c>
      <c r="H2">
        <v>0.45701357466063353</v>
      </c>
      <c r="I2">
        <v>0.40271493212669679</v>
      </c>
      <c r="J2">
        <v>0.28054298642533942</v>
      </c>
      <c r="K2">
        <v>0.2669683257918552</v>
      </c>
      <c r="L2">
        <v>0.25791855203619912</v>
      </c>
      <c r="M2">
        <v>6.7873303167420809E-2</v>
      </c>
      <c r="N2">
        <v>2.714932126696833E-2</v>
      </c>
      <c r="O2">
        <v>7.2398190045248875E-2</v>
      </c>
      <c r="P2">
        <v>0</v>
      </c>
      <c r="Q2">
        <v>3.1674208144796379E-2</v>
      </c>
      <c r="R2">
        <v>1.8099547511312219E-2</v>
      </c>
      <c r="S2">
        <v>21.00904977375566</v>
      </c>
      <c r="T2">
        <v>0.1040723981900453</v>
      </c>
      <c r="U2">
        <v>0.1176470588235294</v>
      </c>
      <c r="V2">
        <v>9.5022624434389136E-2</v>
      </c>
    </row>
    <row r="3" spans="1:22">
      <c r="A3" t="s">
        <v>58</v>
      </c>
      <c r="B3">
        <v>0.9095022624434389</v>
      </c>
      <c r="C3">
        <v>0.32579185520361992</v>
      </c>
      <c r="D3">
        <v>1.095022624434389</v>
      </c>
      <c r="E3">
        <v>1.067873303167421</v>
      </c>
      <c r="F3">
        <v>0.86877828054298645</v>
      </c>
      <c r="G3">
        <v>0.26244343891402722</v>
      </c>
      <c r="H3">
        <v>0.62895927601809953</v>
      </c>
      <c r="I3">
        <v>0.61538461538461542</v>
      </c>
      <c r="J3">
        <v>0.42986425339366519</v>
      </c>
      <c r="K3">
        <v>0.3574660633484163</v>
      </c>
      <c r="L3">
        <v>0.3755656108597285</v>
      </c>
      <c r="M3">
        <v>0.13122171945701361</v>
      </c>
      <c r="N3">
        <v>6.7873303167420809E-2</v>
      </c>
      <c r="O3">
        <v>0.12669683257918549</v>
      </c>
      <c r="P3">
        <v>4.5248868778280547E-3</v>
      </c>
      <c r="Q3">
        <v>7.6923076923076927E-2</v>
      </c>
      <c r="R3">
        <v>2.714932126696833E-2</v>
      </c>
      <c r="S3">
        <v>22.705882352941181</v>
      </c>
      <c r="T3">
        <v>0.15384615384615391</v>
      </c>
      <c r="U3">
        <v>0.1900452488687783</v>
      </c>
      <c r="V3">
        <v>0.22624434389140269</v>
      </c>
    </row>
    <row r="4" spans="1:22">
      <c r="A4" t="s">
        <v>59</v>
      </c>
      <c r="B4">
        <v>1.316742081447964</v>
      </c>
      <c r="C4">
        <v>0.42081447963800911</v>
      </c>
      <c r="D4">
        <v>1.4796380090497741</v>
      </c>
      <c r="E4">
        <v>1.5158371040723979</v>
      </c>
      <c r="F4">
        <v>1.226244343891403</v>
      </c>
      <c r="G4">
        <v>0.33936651583710409</v>
      </c>
      <c r="H4">
        <v>0.80995475113122173</v>
      </c>
      <c r="I4">
        <v>0.85972850678733037</v>
      </c>
      <c r="J4">
        <v>0.6470588235294118</v>
      </c>
      <c r="K4">
        <v>0.54751131221719462</v>
      </c>
      <c r="L4">
        <v>0.6244343891402715</v>
      </c>
      <c r="M4">
        <v>0.19457013574660631</v>
      </c>
      <c r="N4">
        <v>0.1131221719457014</v>
      </c>
      <c r="O4">
        <v>0.167420814479638</v>
      </c>
      <c r="P4">
        <v>4.5248868778280547E-3</v>
      </c>
      <c r="Q4">
        <v>0.14027149321266971</v>
      </c>
      <c r="R4">
        <v>6.7873303167420809E-2</v>
      </c>
      <c r="S4">
        <v>24.936651583710411</v>
      </c>
      <c r="T4">
        <v>0.2669683257918552</v>
      </c>
      <c r="U4">
        <v>0.36199095022624428</v>
      </c>
      <c r="V4">
        <v>0.34841628959276022</v>
      </c>
    </row>
    <row r="5" spans="1:22">
      <c r="A5" t="s">
        <v>60</v>
      </c>
      <c r="B5">
        <v>1.841628959276018</v>
      </c>
      <c r="C5">
        <v>0.52488687782805432</v>
      </c>
      <c r="D5">
        <v>1.877828054298643</v>
      </c>
      <c r="E5">
        <v>1.8552036199095021</v>
      </c>
      <c r="F5">
        <v>1.434389140271493</v>
      </c>
      <c r="G5">
        <v>0.36199095022624428</v>
      </c>
      <c r="H5">
        <v>0.96832579185520362</v>
      </c>
      <c r="I5">
        <v>1.1040723981900451</v>
      </c>
      <c r="J5">
        <v>0.93665158371040724</v>
      </c>
      <c r="K5">
        <v>0.74208144796380093</v>
      </c>
      <c r="L5">
        <v>0.86877828054298645</v>
      </c>
      <c r="M5">
        <v>0.25791855203619912</v>
      </c>
      <c r="N5">
        <v>0.15837104072398189</v>
      </c>
      <c r="O5">
        <v>0.2443438914027149</v>
      </c>
      <c r="P5">
        <v>3.1674208144796379E-2</v>
      </c>
      <c r="Q5">
        <v>0.22171945701357471</v>
      </c>
      <c r="R5">
        <v>9.9547511312217188E-2</v>
      </c>
      <c r="S5">
        <v>27.497737556561081</v>
      </c>
      <c r="T5">
        <v>0.43438914027149322</v>
      </c>
      <c r="U5">
        <v>0.5113122171945701</v>
      </c>
      <c r="V5">
        <v>0.59728506787330315</v>
      </c>
    </row>
    <row r="6" spans="1:22">
      <c r="A6" t="s">
        <v>61</v>
      </c>
      <c r="B6">
        <v>2.0859728506787332</v>
      </c>
      <c r="C6">
        <v>0.59728506787330315</v>
      </c>
      <c r="D6">
        <v>2.2714932126696832</v>
      </c>
      <c r="E6">
        <v>2.3393665158371042</v>
      </c>
      <c r="F6">
        <v>1.6063348416289589</v>
      </c>
      <c r="G6">
        <v>0.41628959276018102</v>
      </c>
      <c r="H6">
        <v>1.0542986425339369</v>
      </c>
      <c r="I6">
        <v>1.1447963800904979</v>
      </c>
      <c r="J6">
        <v>1.122171945701357</v>
      </c>
      <c r="K6">
        <v>0.88235294117647056</v>
      </c>
      <c r="L6">
        <v>1.0180995475113119</v>
      </c>
      <c r="M6">
        <v>0.32579185520361992</v>
      </c>
      <c r="N6">
        <v>0.1900452488687783</v>
      </c>
      <c r="O6">
        <v>0.28054298642533942</v>
      </c>
      <c r="P6">
        <v>3.6199095022624438E-2</v>
      </c>
      <c r="Q6">
        <v>0.23076923076923081</v>
      </c>
      <c r="R6">
        <v>0.12669683257918549</v>
      </c>
      <c r="S6">
        <v>30.393665158371039</v>
      </c>
      <c r="T6">
        <v>0.61085972850678738</v>
      </c>
      <c r="U6">
        <v>0.76923076923076927</v>
      </c>
      <c r="V6">
        <v>0.85972850678733037</v>
      </c>
    </row>
    <row r="7" spans="1:22">
      <c r="A7" t="s">
        <v>62</v>
      </c>
      <c r="B7">
        <v>2.303167420814479</v>
      </c>
      <c r="C7">
        <v>0.59728506787330315</v>
      </c>
      <c r="D7">
        <v>2.5882352941176472</v>
      </c>
      <c r="E7">
        <v>2.5203619909502262</v>
      </c>
      <c r="F7">
        <v>1.6380090497737561</v>
      </c>
      <c r="G7">
        <v>0.42533936651583709</v>
      </c>
      <c r="H7">
        <v>1.0769230769230771</v>
      </c>
      <c r="I7">
        <v>1.2624434389140271</v>
      </c>
      <c r="J7">
        <v>1.20814479638009</v>
      </c>
      <c r="K7">
        <v>1.0090497737556561</v>
      </c>
      <c r="L7">
        <v>1.1764705882352939</v>
      </c>
      <c r="M7">
        <v>0.32126696832579188</v>
      </c>
      <c r="N7">
        <v>0.19457013574660631</v>
      </c>
      <c r="O7">
        <v>0.29864253393665158</v>
      </c>
      <c r="P7">
        <v>3.1674208144796379E-2</v>
      </c>
      <c r="Q7">
        <v>0.2443438914027149</v>
      </c>
      <c r="R7">
        <v>0.167420814479638</v>
      </c>
      <c r="S7">
        <v>32.737556561085967</v>
      </c>
      <c r="T7">
        <v>0.80995475113122173</v>
      </c>
      <c r="U7">
        <v>0.94570135746606332</v>
      </c>
      <c r="V7">
        <v>1.02262443438914</v>
      </c>
    </row>
    <row r="8" spans="1:22">
      <c r="A8" t="s">
        <v>63</v>
      </c>
      <c r="B8">
        <v>2.2895927601809949</v>
      </c>
      <c r="C8">
        <v>0.65158371040723984</v>
      </c>
      <c r="D8">
        <v>2.6289592760181</v>
      </c>
      <c r="E8">
        <v>2.683257918552036</v>
      </c>
      <c r="F8">
        <v>1.588235294117647</v>
      </c>
      <c r="G8">
        <v>0.3574660633484163</v>
      </c>
      <c r="H8">
        <v>1.045248868778281</v>
      </c>
      <c r="I8">
        <v>1.2579185520361991</v>
      </c>
      <c r="J8">
        <v>1.2307692307692311</v>
      </c>
      <c r="K8">
        <v>1.045248868778281</v>
      </c>
      <c r="L8">
        <v>1.0723981900452491</v>
      </c>
      <c r="M8">
        <v>0.30769230769230771</v>
      </c>
      <c r="N8">
        <v>0.1809954751131222</v>
      </c>
      <c r="O8">
        <v>0.28054298642533942</v>
      </c>
      <c r="P8">
        <v>4.072398190045249E-2</v>
      </c>
      <c r="Q8">
        <v>0.21719457013574661</v>
      </c>
      <c r="R8">
        <v>0.15837104072398189</v>
      </c>
      <c r="S8">
        <v>32.95475113122172</v>
      </c>
      <c r="T8">
        <v>0.84615384615384615</v>
      </c>
      <c r="U8">
        <v>0.98190045248868774</v>
      </c>
      <c r="V8">
        <v>1.1040723981900451</v>
      </c>
    </row>
    <row r="9" spans="1:22">
      <c r="A9" t="s">
        <v>64</v>
      </c>
      <c r="B9">
        <v>2.0588235294117641</v>
      </c>
      <c r="C9">
        <v>0.55203619909502266</v>
      </c>
      <c r="D9">
        <v>2.547511312217194</v>
      </c>
      <c r="E9">
        <v>2.4932126696832579</v>
      </c>
      <c r="F9">
        <v>1.5837104072398189</v>
      </c>
      <c r="G9">
        <v>0.33484162895927599</v>
      </c>
      <c r="H9">
        <v>0.89592760180995479</v>
      </c>
      <c r="I9">
        <v>1.0859728506787329</v>
      </c>
      <c r="J9">
        <v>1.1447963800904979</v>
      </c>
      <c r="K9">
        <v>0.95022624434389136</v>
      </c>
      <c r="L9">
        <v>0.9095022624434389</v>
      </c>
      <c r="M9">
        <v>0.2895927601809955</v>
      </c>
      <c r="N9">
        <v>0.14932126696832579</v>
      </c>
      <c r="O9">
        <v>0.24886877828054299</v>
      </c>
      <c r="P9">
        <v>3.6199095022624438E-2</v>
      </c>
      <c r="Q9">
        <v>0.16289592760180999</v>
      </c>
      <c r="R9">
        <v>0.13574660633484159</v>
      </c>
      <c r="S9">
        <v>30.049773755656108</v>
      </c>
      <c r="T9">
        <v>0.80995475113122173</v>
      </c>
      <c r="U9">
        <v>0.9773755656108597</v>
      </c>
      <c r="V9">
        <v>1.040723981900453</v>
      </c>
    </row>
    <row r="10" spans="1:22">
      <c r="A10" t="s">
        <v>65</v>
      </c>
      <c r="B10">
        <v>1.963800904977375</v>
      </c>
      <c r="C10">
        <v>0.47511312217194568</v>
      </c>
      <c r="D10">
        <v>2.3529411764705879</v>
      </c>
      <c r="E10">
        <v>2.1402714932126701</v>
      </c>
      <c r="F10">
        <v>1.6380090497737561</v>
      </c>
      <c r="G10">
        <v>0.29864253393665158</v>
      </c>
      <c r="H10">
        <v>0.82805429864253388</v>
      </c>
      <c r="I10">
        <v>1.0588235294117649</v>
      </c>
      <c r="J10">
        <v>0.92307692307692313</v>
      </c>
      <c r="K10">
        <v>0.91855203619909498</v>
      </c>
      <c r="L10">
        <v>0.92760180995475117</v>
      </c>
      <c r="M10">
        <v>0.2669683257918552</v>
      </c>
      <c r="N10">
        <v>0.18552036199095021</v>
      </c>
      <c r="O10">
        <v>0.23981900452488689</v>
      </c>
      <c r="P10">
        <v>3.1674208144796379E-2</v>
      </c>
      <c r="Q10">
        <v>0.18552036199095021</v>
      </c>
      <c r="R10">
        <v>0.14479638009049781</v>
      </c>
      <c r="S10">
        <v>26.52941176470588</v>
      </c>
      <c r="T10">
        <v>0.74208144796380093</v>
      </c>
      <c r="U10">
        <v>0.7963800904977375</v>
      </c>
      <c r="V10">
        <v>0.86425339366515841</v>
      </c>
    </row>
    <row r="11" spans="1:22">
      <c r="A11" t="s">
        <v>66</v>
      </c>
      <c r="B11">
        <v>2.0135746606334841</v>
      </c>
      <c r="C11">
        <v>0.53846153846153844</v>
      </c>
      <c r="D11">
        <v>2.248868778280543</v>
      </c>
      <c r="E11">
        <v>2.180995475113122</v>
      </c>
      <c r="F11">
        <v>1.778280542986425</v>
      </c>
      <c r="G11">
        <v>0.26244343891402722</v>
      </c>
      <c r="H11">
        <v>0.90497737556561086</v>
      </c>
      <c r="I11">
        <v>1.0859728506787329</v>
      </c>
      <c r="J11">
        <v>0.95475113122171951</v>
      </c>
      <c r="K11">
        <v>0.86425339366515841</v>
      </c>
      <c r="L11">
        <v>0.8868778280542986</v>
      </c>
      <c r="M11">
        <v>0.2895927601809955</v>
      </c>
      <c r="N11">
        <v>0.26244343891402722</v>
      </c>
      <c r="O11">
        <v>0.31221719457013569</v>
      </c>
      <c r="P11">
        <v>3.6199095022624438E-2</v>
      </c>
      <c r="Q11">
        <v>0.167420814479638</v>
      </c>
      <c r="R11">
        <v>0.21266968325791849</v>
      </c>
      <c r="S11">
        <v>23.248868778280539</v>
      </c>
      <c r="T11">
        <v>0.71945701357466063</v>
      </c>
      <c r="U11">
        <v>0.67420814479638014</v>
      </c>
      <c r="V11">
        <v>0.77828054298642535</v>
      </c>
    </row>
    <row r="12" spans="1:22">
      <c r="A12" t="s">
        <v>67</v>
      </c>
      <c r="B12">
        <v>2.0180995475113122</v>
      </c>
      <c r="C12">
        <v>0.56561085972850678</v>
      </c>
      <c r="D12">
        <v>2.248868778280543</v>
      </c>
      <c r="E12">
        <v>1.9819004524886881</v>
      </c>
      <c r="F12">
        <v>1.819004524886878</v>
      </c>
      <c r="G12">
        <v>0.33936651583710409</v>
      </c>
      <c r="H12">
        <v>0.94117647058823528</v>
      </c>
      <c r="I12">
        <v>1.040723981900453</v>
      </c>
      <c r="J12">
        <v>1.027149321266968</v>
      </c>
      <c r="K12">
        <v>0.9095022624434389</v>
      </c>
      <c r="L12">
        <v>0.91855203619909498</v>
      </c>
      <c r="M12">
        <v>0.37104072398190052</v>
      </c>
      <c r="N12">
        <v>0.27601809954751128</v>
      </c>
      <c r="O12">
        <v>0.38009049773755649</v>
      </c>
      <c r="P12">
        <v>2.714932126696833E-2</v>
      </c>
      <c r="Q12">
        <v>0.1990950226244344</v>
      </c>
      <c r="R12">
        <v>0.33031674208144801</v>
      </c>
      <c r="S12">
        <v>20.877828054298639</v>
      </c>
      <c r="T12">
        <v>0.71493212669683259</v>
      </c>
      <c r="U12">
        <v>0.78280542986425339</v>
      </c>
      <c r="V12">
        <v>0.67873303167420818</v>
      </c>
    </row>
    <row r="13" spans="1:22">
      <c r="A13" t="s">
        <v>68</v>
      </c>
      <c r="B13">
        <v>2.2579185520361991</v>
      </c>
      <c r="C13">
        <v>0.60633484162895923</v>
      </c>
      <c r="D13">
        <v>2.1583710407239818</v>
      </c>
      <c r="E13">
        <v>2.1493212669683261</v>
      </c>
      <c r="F13">
        <v>1.9185520361990951</v>
      </c>
      <c r="G13">
        <v>0.38009049773755649</v>
      </c>
      <c r="H13">
        <v>0.98190045248868774</v>
      </c>
      <c r="I13">
        <v>1.131221719457014</v>
      </c>
      <c r="J13">
        <v>0.96380090497737558</v>
      </c>
      <c r="K13">
        <v>0.95475113122171951</v>
      </c>
      <c r="L13">
        <v>0.96380090497737558</v>
      </c>
      <c r="M13">
        <v>0.35294117647058831</v>
      </c>
      <c r="N13">
        <v>0.33936651583710409</v>
      </c>
      <c r="O13">
        <v>0.40723981900452488</v>
      </c>
      <c r="P13">
        <v>1.357466063348416E-2</v>
      </c>
      <c r="Q13">
        <v>0.19457013574660631</v>
      </c>
      <c r="R13">
        <v>0.39366515837104071</v>
      </c>
      <c r="S13">
        <v>19.941176470588239</v>
      </c>
      <c r="T13">
        <v>0.71945701357466063</v>
      </c>
      <c r="U13">
        <v>0.80995475113122173</v>
      </c>
      <c r="V13">
        <v>0.59276018099547512</v>
      </c>
    </row>
    <row r="14" spans="1:22">
      <c r="A14" t="s">
        <v>69</v>
      </c>
      <c r="B14">
        <v>2.316742081447964</v>
      </c>
      <c r="C14">
        <v>0.63348416289592757</v>
      </c>
      <c r="D14">
        <v>1.877828054298643</v>
      </c>
      <c r="E14">
        <v>2.0588235294117641</v>
      </c>
      <c r="F14">
        <v>1.705882352941176</v>
      </c>
      <c r="G14">
        <v>0.41176470588235292</v>
      </c>
      <c r="H14">
        <v>1.0497737556561091</v>
      </c>
      <c r="I14">
        <v>1.1447963800904979</v>
      </c>
      <c r="J14">
        <v>1.090497737556561</v>
      </c>
      <c r="K14">
        <v>0.83257918552036203</v>
      </c>
      <c r="L14">
        <v>0.82805429864253388</v>
      </c>
      <c r="M14">
        <v>0.36651583710407237</v>
      </c>
      <c r="N14">
        <v>0.28054298642533942</v>
      </c>
      <c r="O14">
        <v>0.41176470588235292</v>
      </c>
      <c r="P14">
        <v>2.2624434389140271E-2</v>
      </c>
      <c r="Q14">
        <v>0.16289592760180999</v>
      </c>
      <c r="R14">
        <v>0.40723981900452488</v>
      </c>
      <c r="S14">
        <v>18.9683257918552</v>
      </c>
      <c r="T14">
        <v>0.70588235294117652</v>
      </c>
      <c r="U14">
        <v>0.89140271493212675</v>
      </c>
      <c r="V14">
        <v>0.70135746606334837</v>
      </c>
    </row>
    <row r="15" spans="1:22">
      <c r="A15" t="s">
        <v>70</v>
      </c>
      <c r="B15">
        <v>1.9411764705882351</v>
      </c>
      <c r="C15">
        <v>0.56108597285067874</v>
      </c>
      <c r="D15">
        <v>1.6244343891402711</v>
      </c>
      <c r="E15">
        <v>1.8914027149321271</v>
      </c>
      <c r="F15">
        <v>1.4886877828054299</v>
      </c>
      <c r="G15">
        <v>0.43891402714932132</v>
      </c>
      <c r="H15">
        <v>0.99547511312217196</v>
      </c>
      <c r="I15">
        <v>0.87330316742081449</v>
      </c>
      <c r="J15">
        <v>1.0995475113122171</v>
      </c>
      <c r="K15">
        <v>0.84162895927601811</v>
      </c>
      <c r="L15">
        <v>0.75565610859728505</v>
      </c>
      <c r="M15">
        <v>0.31221719457013569</v>
      </c>
      <c r="N15">
        <v>0.2443438914027149</v>
      </c>
      <c r="O15">
        <v>0.32126696832579188</v>
      </c>
      <c r="P15">
        <v>2.2624434389140271E-2</v>
      </c>
      <c r="Q15">
        <v>0.14027149321266971</v>
      </c>
      <c r="R15">
        <v>0.30316742081447962</v>
      </c>
      <c r="S15">
        <v>16.963800904977379</v>
      </c>
      <c r="T15">
        <v>0.6244343891402715</v>
      </c>
      <c r="U15">
        <v>0.94117647058823528</v>
      </c>
      <c r="V15">
        <v>0.56108597285067874</v>
      </c>
    </row>
    <row r="16" spans="1:22">
      <c r="A16" t="s">
        <v>71</v>
      </c>
      <c r="B16">
        <v>1.719457013574661</v>
      </c>
      <c r="C16">
        <v>0.50678733031674206</v>
      </c>
      <c r="D16">
        <v>1.3529411764705881</v>
      </c>
      <c r="E16">
        <v>1.728506787330317</v>
      </c>
      <c r="F16">
        <v>1.402714932126697</v>
      </c>
      <c r="G16">
        <v>0.37104072398190052</v>
      </c>
      <c r="H16">
        <v>0.85972850678733037</v>
      </c>
      <c r="I16">
        <v>0.83710407239819007</v>
      </c>
      <c r="J16">
        <v>0.96832579185520362</v>
      </c>
      <c r="K16">
        <v>0.66968325791855199</v>
      </c>
      <c r="L16">
        <v>0.72850678733031671</v>
      </c>
      <c r="M16">
        <v>0.23529411764705879</v>
      </c>
      <c r="N16">
        <v>0.24886877828054299</v>
      </c>
      <c r="O16">
        <v>0.29411764705882348</v>
      </c>
      <c r="P16">
        <v>2.714932126696833E-2</v>
      </c>
      <c r="Q16">
        <v>0.14479638009049781</v>
      </c>
      <c r="R16">
        <v>0.1809954751131222</v>
      </c>
      <c r="S16">
        <v>14.371040723981899</v>
      </c>
      <c r="T16">
        <v>0.63348416289592757</v>
      </c>
      <c r="U16">
        <v>0.75565610859728505</v>
      </c>
      <c r="V16">
        <v>0.61538461538461542</v>
      </c>
    </row>
    <row r="17" spans="1:22">
      <c r="A17" t="s">
        <v>72</v>
      </c>
      <c r="B17">
        <v>1.3891402714932131</v>
      </c>
      <c r="C17">
        <v>0.45701357466063353</v>
      </c>
      <c r="D17">
        <v>1.2036199095022619</v>
      </c>
      <c r="E17">
        <v>1.4886877828054299</v>
      </c>
      <c r="F17">
        <v>1.1040723981900451</v>
      </c>
      <c r="G17">
        <v>0.32126696832579188</v>
      </c>
      <c r="H17">
        <v>0.85067873303167418</v>
      </c>
      <c r="I17">
        <v>0.60180995475113119</v>
      </c>
      <c r="J17">
        <v>0.93665158371040724</v>
      </c>
      <c r="K17">
        <v>0.50226244343891402</v>
      </c>
      <c r="L17">
        <v>0.6244343891402715</v>
      </c>
      <c r="M17">
        <v>0.21266968325791849</v>
      </c>
      <c r="N17">
        <v>0.1764705882352941</v>
      </c>
      <c r="O17">
        <v>0.22624434389140269</v>
      </c>
      <c r="P17">
        <v>2.2624434389140271E-2</v>
      </c>
      <c r="Q17">
        <v>0.13122171945701361</v>
      </c>
      <c r="R17">
        <v>0.15384615384615391</v>
      </c>
      <c r="S17">
        <v>12.15384615384615</v>
      </c>
      <c r="T17">
        <v>0.579185520361991</v>
      </c>
      <c r="U17">
        <v>0.65610859728506787</v>
      </c>
      <c r="V17">
        <v>0.59728506787330315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"/>
  <sheetViews>
    <sheetView workbookViewId="0"/>
  </sheetViews>
  <sheetFormatPr defaultRowHeight="14.45"/>
  <sheetData>
    <row r="1" spans="1:17">
      <c r="A1" s="1" t="s">
        <v>56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39</v>
      </c>
      <c r="N1" s="1" t="s">
        <v>46</v>
      </c>
      <c r="O1" s="1" t="s">
        <v>43</v>
      </c>
      <c r="P1" s="1" t="s">
        <v>44</v>
      </c>
      <c r="Q1" s="1" t="s">
        <v>45</v>
      </c>
    </row>
    <row r="2" spans="1:17">
      <c r="A2" t="s">
        <v>57</v>
      </c>
      <c r="B2">
        <v>0</v>
      </c>
      <c r="C2">
        <v>0</v>
      </c>
      <c r="D2">
        <v>0.25</v>
      </c>
      <c r="E2">
        <v>1</v>
      </c>
      <c r="F2">
        <v>0.25</v>
      </c>
      <c r="G2">
        <v>0</v>
      </c>
      <c r="H2">
        <v>0.5</v>
      </c>
      <c r="I2">
        <v>0.5</v>
      </c>
      <c r="J2">
        <v>1.5</v>
      </c>
      <c r="K2">
        <v>0.25</v>
      </c>
      <c r="L2">
        <v>0</v>
      </c>
      <c r="M2">
        <v>0</v>
      </c>
      <c r="N2">
        <v>24</v>
      </c>
      <c r="O2">
        <v>0</v>
      </c>
      <c r="P2">
        <v>0</v>
      </c>
      <c r="Q2">
        <v>0.25</v>
      </c>
    </row>
    <row r="3" spans="1:17">
      <c r="A3" t="s">
        <v>58</v>
      </c>
      <c r="B3">
        <v>0</v>
      </c>
      <c r="C3">
        <v>0</v>
      </c>
      <c r="D3">
        <v>0.5</v>
      </c>
      <c r="E3">
        <v>1.25</v>
      </c>
      <c r="F3">
        <v>1</v>
      </c>
      <c r="G3">
        <v>0</v>
      </c>
      <c r="H3">
        <v>0.75</v>
      </c>
      <c r="I3">
        <v>0.75</v>
      </c>
      <c r="J3">
        <v>2</v>
      </c>
      <c r="K3">
        <v>1</v>
      </c>
      <c r="L3">
        <v>0</v>
      </c>
      <c r="M3">
        <v>0.25</v>
      </c>
      <c r="N3">
        <v>25</v>
      </c>
      <c r="O3">
        <v>0</v>
      </c>
      <c r="P3">
        <v>0</v>
      </c>
      <c r="Q3">
        <v>0.5</v>
      </c>
    </row>
    <row r="4" spans="1:17">
      <c r="A4" t="s">
        <v>59</v>
      </c>
      <c r="B4">
        <v>0.25</v>
      </c>
      <c r="C4">
        <v>0</v>
      </c>
      <c r="D4">
        <v>0.75</v>
      </c>
      <c r="E4">
        <v>1.75</v>
      </c>
      <c r="F4">
        <v>1.5</v>
      </c>
      <c r="G4">
        <v>1</v>
      </c>
      <c r="H4">
        <v>1</v>
      </c>
      <c r="I4">
        <v>0.75</v>
      </c>
      <c r="J4">
        <v>1.75</v>
      </c>
      <c r="K4">
        <v>2</v>
      </c>
      <c r="L4">
        <v>0</v>
      </c>
      <c r="M4">
        <v>0.5</v>
      </c>
      <c r="N4">
        <v>32.5</v>
      </c>
      <c r="O4">
        <v>0</v>
      </c>
      <c r="P4">
        <v>0</v>
      </c>
      <c r="Q4">
        <v>1.5</v>
      </c>
    </row>
    <row r="5" spans="1:17">
      <c r="A5" t="s">
        <v>60</v>
      </c>
      <c r="B5">
        <v>2.75</v>
      </c>
      <c r="C5">
        <v>0</v>
      </c>
      <c r="D5">
        <v>0.75</v>
      </c>
      <c r="E5">
        <v>1</v>
      </c>
      <c r="F5">
        <v>1.5</v>
      </c>
      <c r="G5">
        <v>1.25</v>
      </c>
      <c r="H5">
        <v>0.75</v>
      </c>
      <c r="I5">
        <v>0.75</v>
      </c>
      <c r="J5">
        <v>2.25</v>
      </c>
      <c r="K5">
        <v>2.5</v>
      </c>
      <c r="L5">
        <v>0</v>
      </c>
      <c r="M5">
        <v>0.5</v>
      </c>
      <c r="N5">
        <v>35.25</v>
      </c>
      <c r="O5">
        <v>0</v>
      </c>
      <c r="P5">
        <v>0</v>
      </c>
      <c r="Q5">
        <v>1.75</v>
      </c>
    </row>
    <row r="6" spans="1:17">
      <c r="A6" t="s">
        <v>61</v>
      </c>
      <c r="B6">
        <v>3.5</v>
      </c>
      <c r="C6">
        <v>0</v>
      </c>
      <c r="D6">
        <v>1</v>
      </c>
      <c r="E6">
        <v>1.75</v>
      </c>
      <c r="F6">
        <v>1.5</v>
      </c>
      <c r="G6">
        <v>1.5</v>
      </c>
      <c r="H6">
        <v>2.5</v>
      </c>
      <c r="I6">
        <v>1.25</v>
      </c>
      <c r="J6">
        <v>2.25</v>
      </c>
      <c r="K6">
        <v>2.25</v>
      </c>
      <c r="L6">
        <v>0</v>
      </c>
      <c r="M6">
        <v>0.75</v>
      </c>
      <c r="N6">
        <v>45.25</v>
      </c>
      <c r="O6">
        <v>1.25</v>
      </c>
      <c r="P6">
        <v>0</v>
      </c>
      <c r="Q6">
        <v>2.25</v>
      </c>
    </row>
    <row r="7" spans="1:17">
      <c r="A7" t="s">
        <v>62</v>
      </c>
      <c r="B7">
        <v>3.75</v>
      </c>
      <c r="C7">
        <v>0</v>
      </c>
      <c r="D7">
        <v>1.5</v>
      </c>
      <c r="E7">
        <v>1.5</v>
      </c>
      <c r="F7">
        <v>2</v>
      </c>
      <c r="G7">
        <v>2.25</v>
      </c>
      <c r="H7">
        <v>2.75</v>
      </c>
      <c r="I7">
        <v>1.5</v>
      </c>
      <c r="J7">
        <v>3</v>
      </c>
      <c r="K7">
        <v>1.5</v>
      </c>
      <c r="L7">
        <v>0</v>
      </c>
      <c r="M7">
        <v>0.5</v>
      </c>
      <c r="N7">
        <v>45.25</v>
      </c>
      <c r="O7">
        <v>1.25</v>
      </c>
      <c r="P7">
        <v>1</v>
      </c>
      <c r="Q7">
        <v>3</v>
      </c>
    </row>
    <row r="8" spans="1:17">
      <c r="A8" t="s">
        <v>63</v>
      </c>
      <c r="B8">
        <v>4.75</v>
      </c>
      <c r="C8">
        <v>0</v>
      </c>
      <c r="D8">
        <v>2.5</v>
      </c>
      <c r="E8">
        <v>1.5</v>
      </c>
      <c r="F8">
        <v>1.75</v>
      </c>
      <c r="G8">
        <v>1.5</v>
      </c>
      <c r="H8">
        <v>2.5</v>
      </c>
      <c r="I8">
        <v>1.5</v>
      </c>
      <c r="J8">
        <v>3.5</v>
      </c>
      <c r="K8">
        <v>0.5</v>
      </c>
      <c r="L8">
        <v>0</v>
      </c>
      <c r="M8">
        <v>0.5</v>
      </c>
      <c r="N8">
        <v>41.25</v>
      </c>
      <c r="O8">
        <v>1.75</v>
      </c>
      <c r="P8">
        <v>1</v>
      </c>
      <c r="Q8">
        <v>6.25</v>
      </c>
    </row>
    <row r="9" spans="1:17">
      <c r="A9" t="s">
        <v>64</v>
      </c>
      <c r="B9">
        <v>2.25</v>
      </c>
      <c r="C9">
        <v>0</v>
      </c>
      <c r="D9">
        <v>3</v>
      </c>
      <c r="E9">
        <v>2.25</v>
      </c>
      <c r="F9">
        <v>1.75</v>
      </c>
      <c r="G9">
        <v>2.25</v>
      </c>
      <c r="H9">
        <v>2.5</v>
      </c>
      <c r="I9">
        <v>1.5</v>
      </c>
      <c r="J9">
        <v>2.5</v>
      </c>
      <c r="K9">
        <v>1.25</v>
      </c>
      <c r="L9">
        <v>0</v>
      </c>
      <c r="M9">
        <v>0.5</v>
      </c>
      <c r="N9">
        <v>35.5</v>
      </c>
      <c r="O9">
        <v>2</v>
      </c>
      <c r="P9">
        <v>1</v>
      </c>
      <c r="Q9">
        <v>6</v>
      </c>
    </row>
    <row r="10" spans="1:17">
      <c r="A10" t="s">
        <v>65</v>
      </c>
      <c r="B10">
        <v>1.5</v>
      </c>
      <c r="C10">
        <v>0</v>
      </c>
      <c r="D10">
        <v>2.75</v>
      </c>
      <c r="E10">
        <v>1.5</v>
      </c>
      <c r="F10">
        <v>1.75</v>
      </c>
      <c r="G10">
        <v>2.25</v>
      </c>
      <c r="H10">
        <v>1</v>
      </c>
      <c r="I10">
        <v>0.5</v>
      </c>
      <c r="J10">
        <v>2.5</v>
      </c>
      <c r="K10">
        <v>1.75</v>
      </c>
      <c r="L10">
        <v>0</v>
      </c>
      <c r="M10">
        <v>0.5</v>
      </c>
      <c r="N10">
        <v>25.25</v>
      </c>
      <c r="O10">
        <v>1.25</v>
      </c>
      <c r="P10">
        <v>1</v>
      </c>
      <c r="Q10">
        <v>7.25</v>
      </c>
    </row>
    <row r="11" spans="1:17">
      <c r="A11" t="s">
        <v>66</v>
      </c>
      <c r="B11">
        <v>1.25</v>
      </c>
      <c r="C11">
        <v>0</v>
      </c>
      <c r="D11">
        <v>2.25</v>
      </c>
      <c r="E11">
        <v>2</v>
      </c>
      <c r="F11">
        <v>1</v>
      </c>
      <c r="G11">
        <v>3</v>
      </c>
      <c r="H11">
        <v>0.75</v>
      </c>
      <c r="I11">
        <v>1.5</v>
      </c>
      <c r="J11">
        <v>1.25</v>
      </c>
      <c r="K11">
        <v>2.25</v>
      </c>
      <c r="L11">
        <v>0</v>
      </c>
      <c r="M11">
        <v>0.5</v>
      </c>
      <c r="N11">
        <v>26.5</v>
      </c>
      <c r="O11">
        <v>1.25</v>
      </c>
      <c r="P11">
        <v>0.75</v>
      </c>
      <c r="Q11">
        <v>7</v>
      </c>
    </row>
    <row r="12" spans="1:17">
      <c r="A12" t="s">
        <v>67</v>
      </c>
      <c r="B12">
        <v>0</v>
      </c>
      <c r="C12">
        <v>0</v>
      </c>
      <c r="D12">
        <v>1.5</v>
      </c>
      <c r="E12">
        <v>3.25</v>
      </c>
      <c r="F12">
        <v>2.25</v>
      </c>
      <c r="G12">
        <v>3</v>
      </c>
      <c r="H12">
        <v>3</v>
      </c>
      <c r="I12">
        <v>2.25</v>
      </c>
      <c r="J12">
        <v>0.5</v>
      </c>
      <c r="K12">
        <v>3</v>
      </c>
      <c r="L12">
        <v>0</v>
      </c>
      <c r="M12">
        <v>0.25</v>
      </c>
      <c r="N12">
        <v>24.5</v>
      </c>
      <c r="O12">
        <v>0.75</v>
      </c>
      <c r="P12">
        <v>1.75</v>
      </c>
      <c r="Q12">
        <v>4</v>
      </c>
    </row>
    <row r="13" spans="1:17">
      <c r="A13" t="s">
        <v>68</v>
      </c>
      <c r="B13">
        <v>0</v>
      </c>
      <c r="C13">
        <v>0</v>
      </c>
      <c r="D13">
        <v>1.25</v>
      </c>
      <c r="E13">
        <v>2.75</v>
      </c>
      <c r="F13">
        <v>2.5</v>
      </c>
      <c r="G13">
        <v>2.25</v>
      </c>
      <c r="H13">
        <v>4.5</v>
      </c>
      <c r="I13">
        <v>3.5</v>
      </c>
      <c r="J13">
        <v>0.5</v>
      </c>
      <c r="K13">
        <v>2.25</v>
      </c>
      <c r="L13">
        <v>0</v>
      </c>
      <c r="M13">
        <v>0.25</v>
      </c>
      <c r="N13">
        <v>28.5</v>
      </c>
      <c r="O13">
        <v>0.5</v>
      </c>
      <c r="P13">
        <v>1.75</v>
      </c>
      <c r="Q13">
        <v>4.75</v>
      </c>
    </row>
    <row r="14" spans="1:17">
      <c r="A14" t="s">
        <v>69</v>
      </c>
      <c r="B14">
        <v>0</v>
      </c>
      <c r="C14">
        <v>0</v>
      </c>
      <c r="D14">
        <v>1.25</v>
      </c>
      <c r="E14">
        <v>2.75</v>
      </c>
      <c r="F14">
        <v>2.5</v>
      </c>
      <c r="G14">
        <v>3</v>
      </c>
      <c r="H14">
        <v>5</v>
      </c>
      <c r="I14">
        <v>3.5</v>
      </c>
      <c r="J14">
        <v>0.5</v>
      </c>
      <c r="K14">
        <v>1.75</v>
      </c>
      <c r="L14">
        <v>0</v>
      </c>
      <c r="M14">
        <v>0</v>
      </c>
      <c r="N14">
        <v>30.75</v>
      </c>
      <c r="O14">
        <v>0</v>
      </c>
      <c r="P14">
        <v>1.75</v>
      </c>
      <c r="Q14">
        <v>3.25</v>
      </c>
    </row>
    <row r="15" spans="1:17">
      <c r="A15" t="s">
        <v>70</v>
      </c>
      <c r="B15">
        <v>0</v>
      </c>
      <c r="C15">
        <v>0</v>
      </c>
      <c r="D15">
        <v>1.75</v>
      </c>
      <c r="E15">
        <v>3</v>
      </c>
      <c r="F15">
        <v>2.25</v>
      </c>
      <c r="G15">
        <v>2</v>
      </c>
      <c r="H15">
        <v>5</v>
      </c>
      <c r="I15">
        <v>2.75</v>
      </c>
      <c r="J15">
        <v>0.5</v>
      </c>
      <c r="K15">
        <v>1.25</v>
      </c>
      <c r="L15">
        <v>0</v>
      </c>
      <c r="M15">
        <v>0</v>
      </c>
      <c r="N15">
        <v>27.5</v>
      </c>
      <c r="O15">
        <v>0</v>
      </c>
      <c r="P15">
        <v>1</v>
      </c>
      <c r="Q15">
        <v>3</v>
      </c>
    </row>
    <row r="16" spans="1:17">
      <c r="A16" t="s">
        <v>71</v>
      </c>
      <c r="B16">
        <v>0</v>
      </c>
      <c r="C16">
        <v>0.25</v>
      </c>
      <c r="D16">
        <v>1.25</v>
      </c>
      <c r="E16">
        <v>1.25</v>
      </c>
      <c r="F16">
        <v>1</v>
      </c>
      <c r="G16">
        <v>1.75</v>
      </c>
      <c r="H16">
        <v>3.5</v>
      </c>
      <c r="I16">
        <v>2.5</v>
      </c>
      <c r="J16">
        <v>0.5</v>
      </c>
      <c r="K16">
        <v>0.5</v>
      </c>
      <c r="L16">
        <v>0</v>
      </c>
      <c r="M16">
        <v>0</v>
      </c>
      <c r="N16">
        <v>26</v>
      </c>
      <c r="O16">
        <v>0.25</v>
      </c>
      <c r="P16">
        <v>0.5</v>
      </c>
      <c r="Q16">
        <v>1.75</v>
      </c>
    </row>
    <row r="17" spans="1:17">
      <c r="A17" t="s">
        <v>72</v>
      </c>
      <c r="B17">
        <v>0</v>
      </c>
      <c r="C17">
        <v>0.25</v>
      </c>
      <c r="D17">
        <v>1.25</v>
      </c>
      <c r="E17">
        <v>0.75</v>
      </c>
      <c r="F17">
        <v>1</v>
      </c>
      <c r="G17">
        <v>1.5</v>
      </c>
      <c r="H17">
        <v>2</v>
      </c>
      <c r="I17">
        <v>1.5</v>
      </c>
      <c r="J17">
        <v>0.5</v>
      </c>
      <c r="K17">
        <v>0</v>
      </c>
      <c r="L17">
        <v>0</v>
      </c>
      <c r="M17">
        <v>0</v>
      </c>
      <c r="N17">
        <v>22.25</v>
      </c>
      <c r="O17">
        <v>0.25</v>
      </c>
      <c r="P17">
        <v>0.5</v>
      </c>
      <c r="Q1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"/>
  <sheetViews>
    <sheetView workbookViewId="0"/>
  </sheetViews>
  <sheetFormatPr defaultRowHeight="14.45"/>
  <sheetData>
    <row r="1" spans="1:5">
      <c r="A1" s="1" t="s">
        <v>16</v>
      </c>
      <c r="B1" s="1" t="s">
        <v>21</v>
      </c>
      <c r="C1" s="1" t="s">
        <v>73</v>
      </c>
      <c r="D1" s="1" t="s">
        <v>74</v>
      </c>
      <c r="E1" s="1" t="s">
        <v>75</v>
      </c>
    </row>
    <row r="2" spans="1:5">
      <c r="A2" t="s">
        <v>18</v>
      </c>
      <c r="B2" t="s">
        <v>26</v>
      </c>
      <c r="C2">
        <v>30</v>
      </c>
      <c r="D2" s="2">
        <v>45925.604166666657</v>
      </c>
      <c r="E2" s="2">
        <v>45925.645833333343</v>
      </c>
    </row>
    <row r="3" spans="1:5">
      <c r="A3" t="s">
        <v>18</v>
      </c>
      <c r="B3" t="s">
        <v>27</v>
      </c>
      <c r="C3">
        <v>11</v>
      </c>
      <c r="D3" s="2">
        <v>45972.677083333343</v>
      </c>
      <c r="E3" s="2">
        <v>45972.71875</v>
      </c>
    </row>
    <row r="4" spans="1:5">
      <c r="A4" t="s">
        <v>18</v>
      </c>
      <c r="B4" t="s">
        <v>28</v>
      </c>
      <c r="C4">
        <v>25</v>
      </c>
      <c r="D4" s="2">
        <v>46014.604166666657</v>
      </c>
      <c r="E4" s="2">
        <v>46014.645833333343</v>
      </c>
    </row>
    <row r="5" spans="1:5">
      <c r="A5" t="s">
        <v>18</v>
      </c>
      <c r="B5" t="s">
        <v>29</v>
      </c>
      <c r="C5">
        <v>34</v>
      </c>
      <c r="D5" s="2">
        <v>45981.6875</v>
      </c>
      <c r="E5" s="2">
        <v>45981.729166666657</v>
      </c>
    </row>
    <row r="6" spans="1:5">
      <c r="A6" t="s">
        <v>18</v>
      </c>
      <c r="B6" t="s">
        <v>30</v>
      </c>
      <c r="C6">
        <v>22</v>
      </c>
      <c r="D6" s="2">
        <v>45951.65625</v>
      </c>
      <c r="E6" s="2">
        <v>45951.697916666657</v>
      </c>
    </row>
    <row r="7" spans="1:5">
      <c r="A7" t="s">
        <v>18</v>
      </c>
      <c r="B7" t="s">
        <v>31</v>
      </c>
      <c r="C7">
        <v>9</v>
      </c>
      <c r="D7" s="2">
        <v>45896.635416666657</v>
      </c>
      <c r="E7" s="2">
        <v>45896.677083333343</v>
      </c>
    </row>
    <row r="8" spans="1:5">
      <c r="A8" t="s">
        <v>18</v>
      </c>
      <c r="B8" t="s">
        <v>32</v>
      </c>
      <c r="C8">
        <v>19</v>
      </c>
      <c r="D8" s="2">
        <v>45960.583333333343</v>
      </c>
      <c r="E8" s="2">
        <v>45960.625</v>
      </c>
    </row>
    <row r="9" spans="1:5">
      <c r="A9" t="s">
        <v>18</v>
      </c>
      <c r="B9" t="s">
        <v>33</v>
      </c>
      <c r="C9">
        <v>23</v>
      </c>
      <c r="D9" s="2">
        <v>46198.677083333343</v>
      </c>
      <c r="E9" s="2">
        <v>46198.71875</v>
      </c>
    </row>
    <row r="10" spans="1:5">
      <c r="A10" t="s">
        <v>18</v>
      </c>
      <c r="B10" t="s">
        <v>34</v>
      </c>
      <c r="C10">
        <v>13</v>
      </c>
      <c r="D10" s="2">
        <v>46058.65625</v>
      </c>
      <c r="E10" s="2">
        <v>46058.697916666657</v>
      </c>
    </row>
    <row r="11" spans="1:5">
      <c r="A11" t="s">
        <v>18</v>
      </c>
      <c r="B11" t="s">
        <v>35</v>
      </c>
      <c r="C11">
        <v>26</v>
      </c>
      <c r="D11" s="2">
        <v>45930.614583333343</v>
      </c>
      <c r="E11" s="2">
        <v>45930.65625</v>
      </c>
    </row>
    <row r="12" spans="1:5">
      <c r="A12" t="s">
        <v>18</v>
      </c>
      <c r="B12" t="s">
        <v>36</v>
      </c>
      <c r="C12">
        <v>19</v>
      </c>
      <c r="D12" s="2">
        <v>46171.666666666657</v>
      </c>
      <c r="E12" s="2">
        <v>46171.708333333343</v>
      </c>
    </row>
    <row r="13" spans="1:5">
      <c r="A13" t="s">
        <v>18</v>
      </c>
      <c r="B13" t="s">
        <v>37</v>
      </c>
      <c r="C13">
        <v>8</v>
      </c>
      <c r="D13" s="2">
        <v>46154.59375</v>
      </c>
      <c r="E13" s="2">
        <v>46154.635416666657</v>
      </c>
    </row>
    <row r="14" spans="1:5">
      <c r="A14" t="s">
        <v>18</v>
      </c>
      <c r="B14" t="s">
        <v>38</v>
      </c>
      <c r="C14">
        <v>11</v>
      </c>
      <c r="D14" s="2">
        <v>45945.666666666657</v>
      </c>
      <c r="E14" s="2">
        <v>45945.708333333343</v>
      </c>
    </row>
    <row r="15" spans="1:5">
      <c r="A15" t="s">
        <v>18</v>
      </c>
      <c r="B15" t="s">
        <v>39</v>
      </c>
      <c r="C15">
        <v>14</v>
      </c>
      <c r="D15" s="2">
        <v>45930.645833333343</v>
      </c>
      <c r="E15" s="2">
        <v>45930.6875</v>
      </c>
    </row>
    <row r="16" spans="1:5">
      <c r="A16" t="s">
        <v>18</v>
      </c>
      <c r="B16" t="s">
        <v>40</v>
      </c>
      <c r="C16">
        <v>4</v>
      </c>
      <c r="D16" s="2">
        <v>45898.614583333343</v>
      </c>
      <c r="E16" s="2">
        <v>45898.65625</v>
      </c>
    </row>
    <row r="17" spans="1:5">
      <c r="A17" t="s">
        <v>18</v>
      </c>
      <c r="B17" t="s">
        <v>41</v>
      </c>
      <c r="C17">
        <v>11</v>
      </c>
      <c r="D17" s="2">
        <v>45898.604166666657</v>
      </c>
      <c r="E17" s="2">
        <v>45898.645833333343</v>
      </c>
    </row>
    <row r="18" spans="1:5">
      <c r="A18" t="s">
        <v>18</v>
      </c>
      <c r="B18" t="s">
        <v>42</v>
      </c>
      <c r="C18">
        <v>11</v>
      </c>
      <c r="D18" s="2">
        <v>45944.635416666657</v>
      </c>
      <c r="E18" s="2">
        <v>45944.677083333343</v>
      </c>
    </row>
    <row r="19" spans="1:5">
      <c r="A19" t="s">
        <v>19</v>
      </c>
      <c r="B19" t="s">
        <v>43</v>
      </c>
      <c r="C19">
        <v>14</v>
      </c>
      <c r="D19" s="2">
        <v>46205.614583333343</v>
      </c>
      <c r="E19" s="2">
        <v>46205.65625</v>
      </c>
    </row>
    <row r="20" spans="1:5">
      <c r="A20" t="s">
        <v>19</v>
      </c>
      <c r="B20" t="s">
        <v>44</v>
      </c>
      <c r="C20">
        <v>18</v>
      </c>
      <c r="D20" s="2">
        <v>45926.625</v>
      </c>
      <c r="E20" s="2">
        <v>45926.666666666657</v>
      </c>
    </row>
    <row r="21" spans="1:5">
      <c r="A21" t="s">
        <v>19</v>
      </c>
      <c r="B21" t="s">
        <v>45</v>
      </c>
      <c r="C21">
        <v>16</v>
      </c>
      <c r="D21" s="2">
        <v>46154.625</v>
      </c>
      <c r="E21" s="2">
        <v>46154.666666666657</v>
      </c>
    </row>
    <row r="22" spans="1:5">
      <c r="A22" t="s">
        <v>20</v>
      </c>
      <c r="B22" t="s">
        <v>46</v>
      </c>
      <c r="C22">
        <v>89</v>
      </c>
      <c r="D22" s="2">
        <v>46267.625</v>
      </c>
      <c r="E22" s="2">
        <v>46267.666666666657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workbookViewId="0"/>
  </sheetViews>
  <sheetFormatPr defaultRowHeight="14.45"/>
  <sheetData>
    <row r="1" spans="1:5">
      <c r="A1" s="1" t="s">
        <v>16</v>
      </c>
      <c r="B1" s="1" t="s">
        <v>21</v>
      </c>
      <c r="C1" s="1" t="s">
        <v>73</v>
      </c>
      <c r="D1" s="1" t="s">
        <v>74</v>
      </c>
      <c r="E1" s="1" t="s">
        <v>75</v>
      </c>
    </row>
    <row r="2" spans="1:5">
      <c r="A2" t="s">
        <v>18</v>
      </c>
      <c r="B2" t="s">
        <v>26</v>
      </c>
      <c r="C2">
        <v>19</v>
      </c>
      <c r="D2" s="2">
        <v>46262.614583333343</v>
      </c>
      <c r="E2" s="2">
        <v>46262.65625</v>
      </c>
    </row>
    <row r="3" spans="1:5">
      <c r="A3" t="s">
        <v>18</v>
      </c>
      <c r="B3" t="s">
        <v>27</v>
      </c>
      <c r="C3">
        <v>1</v>
      </c>
      <c r="D3" s="2">
        <v>46262.697916666657</v>
      </c>
      <c r="E3" s="2">
        <v>46262.739583333343</v>
      </c>
    </row>
    <row r="4" spans="1:5">
      <c r="A4" t="s">
        <v>18</v>
      </c>
      <c r="B4" t="s">
        <v>28</v>
      </c>
      <c r="C4">
        <v>12</v>
      </c>
      <c r="D4" s="2">
        <v>46260.625</v>
      </c>
      <c r="E4" s="2">
        <v>46260.666666666657</v>
      </c>
    </row>
    <row r="5" spans="1:5">
      <c r="A5" t="s">
        <v>18</v>
      </c>
      <c r="B5" t="s">
        <v>29</v>
      </c>
      <c r="C5">
        <v>7</v>
      </c>
      <c r="D5" s="2">
        <v>46260.6875</v>
      </c>
      <c r="E5" s="2">
        <v>46260.729166666657</v>
      </c>
    </row>
    <row r="6" spans="1:5">
      <c r="A6" t="s">
        <v>18</v>
      </c>
      <c r="B6" t="s">
        <v>30</v>
      </c>
      <c r="C6">
        <v>7</v>
      </c>
      <c r="D6" s="2">
        <v>46261.604166666657</v>
      </c>
      <c r="E6" s="2">
        <v>46261.645833333343</v>
      </c>
    </row>
    <row r="7" spans="1:5">
      <c r="A7" t="s">
        <v>18</v>
      </c>
      <c r="B7" t="s">
        <v>32</v>
      </c>
      <c r="C7">
        <v>7</v>
      </c>
      <c r="D7" s="2">
        <v>46259.677083333343</v>
      </c>
      <c r="E7" s="2">
        <v>46259.71875</v>
      </c>
    </row>
    <row r="8" spans="1:5">
      <c r="A8" t="s">
        <v>18</v>
      </c>
      <c r="B8" t="s">
        <v>33</v>
      </c>
      <c r="C8">
        <v>8</v>
      </c>
      <c r="D8" s="2">
        <v>46259.666666666657</v>
      </c>
      <c r="E8" s="2">
        <v>46259.708333333343</v>
      </c>
    </row>
    <row r="9" spans="1:5">
      <c r="A9" t="s">
        <v>18</v>
      </c>
      <c r="B9" t="s">
        <v>34</v>
      </c>
      <c r="C9">
        <v>9</v>
      </c>
      <c r="D9" s="2">
        <v>46260.697916666657</v>
      </c>
      <c r="E9" s="2">
        <v>46260.739583333343</v>
      </c>
    </row>
    <row r="10" spans="1:5">
      <c r="A10" t="s">
        <v>18</v>
      </c>
      <c r="B10" t="s">
        <v>35</v>
      </c>
      <c r="C10">
        <v>8</v>
      </c>
      <c r="D10" s="2">
        <v>46259.604166666657</v>
      </c>
      <c r="E10" s="2">
        <v>46259.645833333343</v>
      </c>
    </row>
    <row r="11" spans="1:5">
      <c r="A11" t="s">
        <v>18</v>
      </c>
      <c r="B11" t="s">
        <v>36</v>
      </c>
      <c r="C11">
        <v>8</v>
      </c>
      <c r="D11" s="2">
        <v>46260.65625</v>
      </c>
      <c r="E11" s="2">
        <v>46260.697916666657</v>
      </c>
    </row>
    <row r="12" spans="1:5">
      <c r="A12" t="s">
        <v>18</v>
      </c>
      <c r="B12" t="s">
        <v>37</v>
      </c>
      <c r="C12">
        <v>0</v>
      </c>
      <c r="D12" s="2">
        <v>46259.552083333343</v>
      </c>
      <c r="E12" s="2">
        <v>46259.59375</v>
      </c>
    </row>
    <row r="13" spans="1:5">
      <c r="A13" t="s">
        <v>18</v>
      </c>
      <c r="B13" t="s">
        <v>39</v>
      </c>
      <c r="C13">
        <v>3</v>
      </c>
      <c r="D13" s="2">
        <v>46259.59375</v>
      </c>
      <c r="E13" s="2">
        <v>46259.635416666657</v>
      </c>
    </row>
    <row r="14" spans="1:5">
      <c r="A14" t="s">
        <v>19</v>
      </c>
      <c r="B14" t="s">
        <v>43</v>
      </c>
      <c r="C14">
        <v>5</v>
      </c>
      <c r="D14" s="2">
        <v>46262.59375</v>
      </c>
      <c r="E14" s="2">
        <v>46262.635416666657</v>
      </c>
    </row>
    <row r="15" spans="1:5">
      <c r="A15" t="s">
        <v>19</v>
      </c>
      <c r="B15" t="s">
        <v>44</v>
      </c>
      <c r="C15">
        <v>6</v>
      </c>
      <c r="D15" s="2">
        <v>46262.65625</v>
      </c>
      <c r="E15" s="2">
        <v>46262.697916666657</v>
      </c>
    </row>
    <row r="16" spans="1:5">
      <c r="A16" t="s">
        <v>19</v>
      </c>
      <c r="B16" t="s">
        <v>45</v>
      </c>
      <c r="C16">
        <v>13</v>
      </c>
      <c r="D16" s="2">
        <v>46262.614583333343</v>
      </c>
      <c r="E16" s="2">
        <v>46262.65625</v>
      </c>
    </row>
    <row r="17" spans="1:5">
      <c r="A17" t="s">
        <v>20</v>
      </c>
      <c r="B17" t="s">
        <v>46</v>
      </c>
      <c r="C17">
        <v>62</v>
      </c>
      <c r="D17" s="2">
        <v>46260.59375</v>
      </c>
      <c r="E17" s="2">
        <v>46260.635416666657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0"/>
  <sheetViews>
    <sheetView workbookViewId="0"/>
  </sheetViews>
  <sheetFormatPr defaultRowHeight="14.45"/>
  <sheetData>
    <row r="1" spans="1:3">
      <c r="A1" s="1" t="s">
        <v>76</v>
      </c>
      <c r="B1" s="1" t="s">
        <v>18</v>
      </c>
      <c r="C1" s="1" t="s">
        <v>19</v>
      </c>
    </row>
    <row r="2" spans="1:3">
      <c r="A2" t="s">
        <v>77</v>
      </c>
      <c r="B2">
        <v>100</v>
      </c>
      <c r="C2">
        <v>0</v>
      </c>
    </row>
    <row r="3" spans="1:3">
      <c r="A3" t="s">
        <v>78</v>
      </c>
      <c r="B3">
        <v>77.697841726618705</v>
      </c>
      <c r="C3">
        <v>22.302158273381291</v>
      </c>
    </row>
    <row r="4" spans="1:3">
      <c r="A4" t="s">
        <v>79</v>
      </c>
      <c r="B4">
        <v>87.356321839080465</v>
      </c>
      <c r="C4">
        <v>12.64367816091954</v>
      </c>
    </row>
    <row r="5" spans="1:3">
      <c r="A5" t="s">
        <v>80</v>
      </c>
      <c r="B5">
        <v>82.80193236714976</v>
      </c>
      <c r="C5">
        <v>17.19806763285024</v>
      </c>
    </row>
    <row r="6" spans="1:3">
      <c r="A6" t="s">
        <v>81</v>
      </c>
      <c r="B6">
        <v>100</v>
      </c>
      <c r="C6">
        <v>0</v>
      </c>
    </row>
    <row r="7" spans="1:3">
      <c r="A7" t="s">
        <v>82</v>
      </c>
      <c r="B7">
        <v>94.444444444444443</v>
      </c>
      <c r="C7">
        <v>5.5555555555555554</v>
      </c>
    </row>
    <row r="8" spans="1:3">
      <c r="A8" t="s">
        <v>83</v>
      </c>
      <c r="B8">
        <v>91.228070175438589</v>
      </c>
      <c r="C8">
        <v>8.7719298245614024</v>
      </c>
    </row>
    <row r="9" spans="1:3">
      <c r="A9" t="s">
        <v>84</v>
      </c>
      <c r="B9">
        <v>50</v>
      </c>
      <c r="C9">
        <v>50</v>
      </c>
    </row>
    <row r="10" spans="1:3">
      <c r="A10" t="s">
        <v>85</v>
      </c>
      <c r="B10">
        <v>88.359788359788354</v>
      </c>
      <c r="C10">
        <v>11.640211640211639</v>
      </c>
    </row>
    <row r="11" spans="1:3">
      <c r="A11" t="s">
        <v>86</v>
      </c>
      <c r="B11">
        <v>95.510204081632651</v>
      </c>
      <c r="C11">
        <v>4.4897959183673466</v>
      </c>
    </row>
    <row r="12" spans="1:3">
      <c r="A12" t="s">
        <v>87</v>
      </c>
      <c r="B12">
        <v>96.897443263430048</v>
      </c>
      <c r="C12">
        <v>3.1025567365699511</v>
      </c>
    </row>
    <row r="13" spans="1:3">
      <c r="A13" t="s">
        <v>88</v>
      </c>
      <c r="B13">
        <v>100</v>
      </c>
      <c r="C13">
        <v>0</v>
      </c>
    </row>
    <row r="14" spans="1:3">
      <c r="A14" t="s">
        <v>89</v>
      </c>
      <c r="B14">
        <v>100</v>
      </c>
      <c r="C14">
        <v>0</v>
      </c>
    </row>
    <row r="15" spans="1:3">
      <c r="A15" t="s">
        <v>90</v>
      </c>
      <c r="B15">
        <v>100</v>
      </c>
      <c r="C15">
        <v>0</v>
      </c>
    </row>
    <row r="16" spans="1:3">
      <c r="A16" t="s">
        <v>91</v>
      </c>
      <c r="B16">
        <v>92.194092827004212</v>
      </c>
      <c r="C16">
        <v>7.8059071729957807</v>
      </c>
    </row>
    <row r="17" spans="1:3">
      <c r="A17" t="s">
        <v>92</v>
      </c>
      <c r="B17">
        <v>74.900819888918278</v>
      </c>
      <c r="C17">
        <v>25.099180111081729</v>
      </c>
    </row>
    <row r="18" spans="1:3">
      <c r="A18" t="s">
        <v>93</v>
      </c>
      <c r="B18">
        <v>92.131979695431482</v>
      </c>
      <c r="C18">
        <v>7.8680203045685282</v>
      </c>
    </row>
    <row r="19" spans="1:3">
      <c r="A19" t="s">
        <v>94</v>
      </c>
      <c r="B19">
        <v>60</v>
      </c>
      <c r="C19">
        <v>40</v>
      </c>
    </row>
    <row r="20" spans="1:3">
      <c r="A20" t="s">
        <v>95</v>
      </c>
      <c r="B20">
        <v>89.743589743589752</v>
      </c>
      <c r="C20">
        <v>10.256410256410261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4"/>
  <sheetViews>
    <sheetView workbookViewId="0"/>
  </sheetViews>
  <sheetFormatPr defaultRowHeight="14.45"/>
  <sheetData>
    <row r="1" spans="1:3">
      <c r="A1" s="1" t="s">
        <v>76</v>
      </c>
      <c r="B1" s="1" t="s">
        <v>18</v>
      </c>
      <c r="C1" s="1" t="s">
        <v>19</v>
      </c>
    </row>
    <row r="2" spans="1:3">
      <c r="A2" t="s">
        <v>78</v>
      </c>
      <c r="B2">
        <v>72.727272727272734</v>
      </c>
      <c r="C2">
        <v>27.27272727272727</v>
      </c>
    </row>
    <row r="3" spans="1:3">
      <c r="A3" t="s">
        <v>79</v>
      </c>
      <c r="B3">
        <v>66.666666666666657</v>
      </c>
      <c r="C3">
        <v>33.333333333333329</v>
      </c>
    </row>
    <row r="4" spans="1:3">
      <c r="A4" t="s">
        <v>80</v>
      </c>
      <c r="B4">
        <v>79.464285714285708</v>
      </c>
      <c r="C4">
        <v>20.535714285714281</v>
      </c>
    </row>
    <row r="5" spans="1:3">
      <c r="A5" t="s">
        <v>82</v>
      </c>
      <c r="B5">
        <v>0</v>
      </c>
      <c r="C5">
        <v>100</v>
      </c>
    </row>
    <row r="6" spans="1:3">
      <c r="A6" t="s">
        <v>85</v>
      </c>
      <c r="B6">
        <v>90</v>
      </c>
      <c r="C6">
        <v>10</v>
      </c>
    </row>
    <row r="7" spans="1:3">
      <c r="A7" t="s">
        <v>86</v>
      </c>
      <c r="B7">
        <v>100</v>
      </c>
      <c r="C7">
        <v>0</v>
      </c>
    </row>
    <row r="8" spans="1:3">
      <c r="A8" t="s">
        <v>87</v>
      </c>
      <c r="B8">
        <v>96.538461538461533</v>
      </c>
      <c r="C8">
        <v>3.4615384615384621</v>
      </c>
    </row>
    <row r="9" spans="1:3">
      <c r="A9" t="s">
        <v>89</v>
      </c>
      <c r="B9">
        <v>0</v>
      </c>
      <c r="C9">
        <v>100</v>
      </c>
    </row>
    <row r="10" spans="1:3">
      <c r="A10" t="s">
        <v>91</v>
      </c>
      <c r="B10">
        <v>88.235294117647058</v>
      </c>
      <c r="C10">
        <v>11.76470588235294</v>
      </c>
    </row>
    <row r="11" spans="1:3">
      <c r="A11" t="s">
        <v>92</v>
      </c>
      <c r="B11">
        <v>72.033898305084747</v>
      </c>
      <c r="C11">
        <v>27.966101694915249</v>
      </c>
    </row>
    <row r="12" spans="1:3">
      <c r="A12" t="s">
        <v>93</v>
      </c>
      <c r="B12">
        <v>89.674952198852779</v>
      </c>
      <c r="C12">
        <v>10.32504780114723</v>
      </c>
    </row>
    <row r="13" spans="1:3">
      <c r="A13" t="s">
        <v>94</v>
      </c>
      <c r="B13">
        <v>100</v>
      </c>
      <c r="C13">
        <v>0</v>
      </c>
    </row>
    <row r="14" spans="1:3">
      <c r="A14" t="s">
        <v>95</v>
      </c>
      <c r="B14">
        <v>100</v>
      </c>
      <c r="C14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/>
  </sheetViews>
  <sheetFormatPr defaultRowHeight="14.45"/>
  <sheetData>
    <row r="1" spans="1:3">
      <c r="A1" s="1" t="s">
        <v>76</v>
      </c>
      <c r="B1" s="1" t="s">
        <v>18</v>
      </c>
      <c r="C1" s="1" t="s">
        <v>19</v>
      </c>
    </row>
    <row r="2" spans="1:3">
      <c r="A2" t="s">
        <v>78</v>
      </c>
      <c r="B2">
        <v>100</v>
      </c>
      <c r="C2">
        <v>0</v>
      </c>
    </row>
    <row r="3" spans="1:3">
      <c r="A3" t="s">
        <v>80</v>
      </c>
      <c r="B3">
        <v>53.846153846153847</v>
      </c>
      <c r="C3">
        <v>46.153846153846153</v>
      </c>
    </row>
    <row r="4" spans="1:3">
      <c r="A4" t="s">
        <v>82</v>
      </c>
      <c r="B4">
        <v>100</v>
      </c>
      <c r="C4">
        <v>0</v>
      </c>
    </row>
    <row r="5" spans="1:3">
      <c r="A5" t="s">
        <v>83</v>
      </c>
      <c r="B5">
        <v>66.666666666666657</v>
      </c>
      <c r="C5">
        <v>33.333333333333329</v>
      </c>
    </row>
    <row r="6" spans="1:3">
      <c r="A6" t="s">
        <v>85</v>
      </c>
      <c r="B6">
        <v>75</v>
      </c>
      <c r="C6">
        <v>25</v>
      </c>
    </row>
    <row r="7" spans="1:3">
      <c r="A7" t="s">
        <v>86</v>
      </c>
      <c r="B7">
        <v>100</v>
      </c>
      <c r="C7">
        <v>0</v>
      </c>
    </row>
    <row r="8" spans="1:3">
      <c r="A8" t="s">
        <v>87</v>
      </c>
      <c r="B8">
        <v>96.666666666666671</v>
      </c>
      <c r="C8">
        <v>3.333333333333333</v>
      </c>
    </row>
    <row r="9" spans="1:3">
      <c r="A9" t="s">
        <v>91</v>
      </c>
      <c r="B9">
        <v>69.230769230769226</v>
      </c>
      <c r="C9">
        <v>30.76923076923077</v>
      </c>
    </row>
    <row r="10" spans="1:3">
      <c r="A10" t="s">
        <v>92</v>
      </c>
      <c r="B10">
        <v>60.747663551401857</v>
      </c>
      <c r="C10">
        <v>39.252336448598129</v>
      </c>
    </row>
    <row r="11" spans="1:3">
      <c r="A11" t="s">
        <v>93</v>
      </c>
      <c r="B11">
        <v>85.365853658536579</v>
      </c>
      <c r="C11">
        <v>14.63414634146341</v>
      </c>
    </row>
    <row r="12" spans="1:3">
      <c r="A12" t="s">
        <v>95</v>
      </c>
      <c r="B12">
        <v>100</v>
      </c>
      <c r="C1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9"/>
  <sheetViews>
    <sheetView zoomScale="49" workbookViewId="0">
      <selection activeCell="F30" sqref="F30"/>
    </sheetView>
  </sheetViews>
  <sheetFormatPr defaultRowHeight="14.45"/>
  <cols>
    <col min="1" max="1" width="36.7109375" customWidth="1"/>
    <col min="2" max="2" width="31.140625" customWidth="1"/>
    <col min="3" max="3" width="29.7109375" customWidth="1"/>
    <col min="4" max="4" width="20.5703125" customWidth="1"/>
    <col min="5" max="5" width="32.7109375" customWidth="1"/>
    <col min="6" max="6" width="33.28515625" customWidth="1"/>
  </cols>
  <sheetData>
    <row r="1" spans="1:6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>
      <c r="A2" t="s">
        <v>101</v>
      </c>
      <c r="B2">
        <v>1018.365384615385</v>
      </c>
      <c r="C2">
        <v>1234.25</v>
      </c>
      <c r="D2">
        <v>1283</v>
      </c>
      <c r="E2">
        <v>48.75</v>
      </c>
      <c r="F2">
        <v>3.949767065019242</v>
      </c>
    </row>
    <row r="3" spans="1:6">
      <c r="A3" t="s">
        <v>102</v>
      </c>
      <c r="B3">
        <v>497.53846153846149</v>
      </c>
      <c r="C3">
        <v>592.25</v>
      </c>
      <c r="D3">
        <v>616</v>
      </c>
      <c r="E3">
        <v>23.75</v>
      </c>
      <c r="F3">
        <v>4.0101308569016458</v>
      </c>
    </row>
    <row r="4" spans="1:6">
      <c r="A4" t="s">
        <v>103</v>
      </c>
      <c r="B4">
        <v>20.087685074434269</v>
      </c>
      <c r="C4">
        <v>18.93433596651138</v>
      </c>
      <c r="D4">
        <v>18.789542738373601</v>
      </c>
      <c r="E4">
        <v>-0.14479322813777171</v>
      </c>
      <c r="F4">
        <v>-0.76471246941991211</v>
      </c>
    </row>
    <row r="5" spans="1:6">
      <c r="A5" t="s">
        <v>104</v>
      </c>
      <c r="B5">
        <v>20.397063762128671</v>
      </c>
      <c r="C5">
        <v>18.99125791088434</v>
      </c>
      <c r="D5">
        <v>19.405014133914381</v>
      </c>
      <c r="E5">
        <v>0.41375622303004889</v>
      </c>
      <c r="F5">
        <v>2.1786667579977181</v>
      </c>
    </row>
    <row r="6" spans="1:6">
      <c r="A6" t="s">
        <v>105</v>
      </c>
      <c r="B6">
        <v>46.019230769230766</v>
      </c>
      <c r="C6">
        <v>68</v>
      </c>
      <c r="D6">
        <v>107</v>
      </c>
      <c r="E6">
        <v>39</v>
      </c>
      <c r="F6">
        <f>E6/C6</f>
        <v>0.57352941176470584</v>
      </c>
    </row>
    <row r="7" spans="1:6">
      <c r="A7" t="s">
        <v>106</v>
      </c>
      <c r="B7">
        <v>36.96153846153846</v>
      </c>
      <c r="C7">
        <v>57.5</v>
      </c>
      <c r="D7">
        <v>91</v>
      </c>
      <c r="E7">
        <v>33.5</v>
      </c>
      <c r="F7">
        <v>58.260869565217391</v>
      </c>
    </row>
    <row r="8" spans="1:6">
      <c r="A8" t="s">
        <v>107</v>
      </c>
      <c r="B8">
        <v>0.80317592979523611</v>
      </c>
      <c r="C8">
        <v>0.84558823529411764</v>
      </c>
      <c r="D8">
        <v>0.85046728971962615</v>
      </c>
      <c r="E8">
        <v>4.8790544255085111E-3</v>
      </c>
      <c r="F8">
        <v>0.57700121901665868</v>
      </c>
    </row>
    <row r="9" spans="1:6">
      <c r="A9" t="s">
        <v>108</v>
      </c>
      <c r="B9">
        <v>388.82692307692309</v>
      </c>
      <c r="C9">
        <v>441.5</v>
      </c>
      <c r="D9">
        <v>457</v>
      </c>
      <c r="E9">
        <v>15.5</v>
      </c>
      <c r="F9">
        <v>3.5107587768969419</v>
      </c>
    </row>
    <row r="10" spans="1:6">
      <c r="A10" t="s">
        <v>109</v>
      </c>
      <c r="B10">
        <v>4.5189311679728066</v>
      </c>
      <c r="C10">
        <v>5.5094186753088934</v>
      </c>
      <c r="D10">
        <v>8.339828526890102</v>
      </c>
      <c r="E10">
        <v>2.8304098515812099</v>
      </c>
      <c r="F10">
        <v>51.374019989913343</v>
      </c>
    </row>
    <row r="11" spans="1:6">
      <c r="A11" t="s">
        <v>110</v>
      </c>
      <c r="B11">
        <v>38.181474837125862</v>
      </c>
      <c r="C11">
        <v>35.770710958071703</v>
      </c>
      <c r="D11">
        <v>35.619641465315667</v>
      </c>
      <c r="E11">
        <v>-0.15106949275603651</v>
      </c>
      <c r="F11">
        <v>-0.42232734186667742</v>
      </c>
    </row>
    <row r="12" spans="1:6">
      <c r="A12" t="s">
        <v>111</v>
      </c>
      <c r="B12">
        <v>4.5189311679728066</v>
      </c>
      <c r="C12">
        <v>5.5094186753088934</v>
      </c>
      <c r="D12">
        <v>8.339828526890102</v>
      </c>
      <c r="E12">
        <v>2.8304098515812099</v>
      </c>
      <c r="F12">
        <v>51.374019989913343</v>
      </c>
    </row>
    <row r="13" spans="1:6">
      <c r="A13" t="s">
        <v>112</v>
      </c>
      <c r="B13">
        <v>38.181474837125862</v>
      </c>
      <c r="C13">
        <v>35.770710958071703</v>
      </c>
      <c r="D13">
        <v>35.619641465315667</v>
      </c>
      <c r="E13">
        <v>-0.15106949275603651</v>
      </c>
      <c r="F13">
        <v>-0.42232734186667742</v>
      </c>
    </row>
    <row r="14" spans="1:6">
      <c r="A14" t="s">
        <v>113</v>
      </c>
      <c r="B14">
        <v>0.1183540234432959</v>
      </c>
      <c r="C14">
        <v>0.1540203850509626</v>
      </c>
      <c r="D14">
        <v>0.23413566739606129</v>
      </c>
      <c r="E14">
        <v>8.0115282345098626E-2</v>
      </c>
      <c r="F14">
        <v>52.016025228472117</v>
      </c>
    </row>
    <row r="15" spans="1:6">
      <c r="A15" t="s">
        <v>114</v>
      </c>
      <c r="B15">
        <v>115.9939583333333</v>
      </c>
      <c r="C15">
        <v>121.2252777777778</v>
      </c>
      <c r="D15">
        <v>132.3833333333333</v>
      </c>
      <c r="E15">
        <v>11.158055555555549</v>
      </c>
      <c r="F15">
        <v>9.2043967727669518</v>
      </c>
    </row>
    <row r="16" spans="1:6">
      <c r="A16" t="s">
        <v>115</v>
      </c>
      <c r="B16">
        <v>54.46153846153846</v>
      </c>
      <c r="C16">
        <v>63.75</v>
      </c>
      <c r="D16">
        <v>65</v>
      </c>
      <c r="E16">
        <v>1.25</v>
      </c>
      <c r="F16">
        <v>1.9607843137254899</v>
      </c>
    </row>
    <row r="17" spans="1:6">
      <c r="A17" t="s">
        <v>116</v>
      </c>
      <c r="B17">
        <v>17.55952380952381</v>
      </c>
      <c r="C17">
        <v>16.64490861618799</v>
      </c>
      <c r="D17">
        <v>16.169154228855721</v>
      </c>
      <c r="E17">
        <v>-0.47575438733226599</v>
      </c>
      <c r="F17">
        <v>-2.8582577309530648</v>
      </c>
    </row>
    <row r="18" spans="1:6">
      <c r="A18" t="s">
        <v>117</v>
      </c>
      <c r="C18">
        <v>458.93822159206002</v>
      </c>
      <c r="D18">
        <v>457</v>
      </c>
      <c r="E18">
        <v>-1.938221592059961</v>
      </c>
      <c r="F18">
        <v>-0.42232734186667997</v>
      </c>
    </row>
    <row r="25" spans="1:6">
      <c r="E25">
        <f>D6-B6</f>
        <v>60.980769230769234</v>
      </c>
      <c r="F25">
        <f>E25/B6</f>
        <v>1.3251149185123277</v>
      </c>
    </row>
    <row r="26" spans="1:6">
      <c r="E26">
        <f>D7-B7</f>
        <v>54.03846153846154</v>
      </c>
      <c r="F26">
        <f>E26/B7</f>
        <v>1.4620187304890739</v>
      </c>
    </row>
    <row r="27" spans="1:6">
      <c r="E27">
        <f>D10-B10</f>
        <v>3.8208973589172954</v>
      </c>
      <c r="F27">
        <f>E27/B10</f>
        <v>0.84553121454853908</v>
      </c>
    </row>
    <row r="28" spans="1:6">
      <c r="E28">
        <f>D14-B14</f>
        <v>0.11578164395276538</v>
      </c>
      <c r="F28">
        <f>E28/B14</f>
        <v>0.97826538198117985</v>
      </c>
    </row>
    <row r="29" spans="1:6">
      <c r="E29">
        <f>D16-B16</f>
        <v>10.53846153846154</v>
      </c>
      <c r="F29">
        <f>E29/B16</f>
        <v>0.19350282485875711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"/>
  <sheetViews>
    <sheetView workbookViewId="0">
      <selection sqref="A1:F6"/>
    </sheetView>
  </sheetViews>
  <sheetFormatPr defaultRowHeight="14.45"/>
  <cols>
    <col min="1" max="1" width="10.5703125" bestFit="1" customWidth="1"/>
    <col min="2" max="2" width="9.42578125" bestFit="1" customWidth="1"/>
    <col min="3" max="3" width="12.7109375" bestFit="1" customWidth="1"/>
    <col min="4" max="4" width="12.140625" bestFit="1" customWidth="1"/>
    <col min="5" max="5" width="15.28515625" bestFit="1" customWidth="1"/>
    <col min="6" max="6" width="14.7109375" bestFit="1" customWidth="1"/>
  </cols>
  <sheetData>
    <row r="1" spans="1:6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110</v>
      </c>
      <c r="F1" s="1" t="s">
        <v>109</v>
      </c>
    </row>
    <row r="2" spans="1:6">
      <c r="A2" t="s">
        <v>122</v>
      </c>
      <c r="B2">
        <v>12516</v>
      </c>
      <c r="C2">
        <v>5004</v>
      </c>
      <c r="D2">
        <v>580</v>
      </c>
      <c r="E2">
        <v>39.98082454458293</v>
      </c>
      <c r="F2">
        <v>4.634068392457654</v>
      </c>
    </row>
    <row r="3" spans="1:6">
      <c r="A3" t="s">
        <v>123</v>
      </c>
      <c r="B3">
        <v>7</v>
      </c>
      <c r="C3">
        <v>6</v>
      </c>
      <c r="D3">
        <v>0</v>
      </c>
      <c r="E3">
        <v>85.714285714285708</v>
      </c>
      <c r="F3">
        <v>0</v>
      </c>
    </row>
    <row r="4" spans="1:6">
      <c r="A4" t="s">
        <v>124</v>
      </c>
      <c r="B4">
        <v>13830</v>
      </c>
      <c r="C4">
        <v>5228</v>
      </c>
      <c r="D4">
        <v>570</v>
      </c>
      <c r="E4">
        <v>37.801879971077369</v>
      </c>
      <c r="F4">
        <v>4.1214750542299354</v>
      </c>
    </row>
    <row r="5" spans="1:6">
      <c r="A5" t="s">
        <v>125</v>
      </c>
      <c r="B5">
        <v>14647</v>
      </c>
      <c r="C5">
        <v>5680</v>
      </c>
      <c r="D5">
        <v>699</v>
      </c>
      <c r="E5">
        <v>38.779272205912477</v>
      </c>
      <c r="F5">
        <v>4.7723083225233838</v>
      </c>
    </row>
    <row r="6" spans="1:6">
      <c r="A6" t="s">
        <v>126</v>
      </c>
      <c r="B6">
        <v>11955</v>
      </c>
      <c r="C6">
        <v>4301</v>
      </c>
      <c r="D6">
        <v>544</v>
      </c>
      <c r="E6">
        <v>35.976578837306569</v>
      </c>
      <c r="F6">
        <v>4.5503973232956918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"/>
  <sheetViews>
    <sheetView workbookViewId="0">
      <selection sqref="A1:F5"/>
    </sheetView>
  </sheetViews>
  <sheetFormatPr defaultRowHeight="14.45"/>
  <cols>
    <col min="1" max="1" width="10.5703125" bestFit="1" customWidth="1"/>
    <col min="2" max="2" width="9.42578125" bestFit="1" customWidth="1"/>
    <col min="3" max="3" width="12.7109375" bestFit="1" customWidth="1"/>
    <col min="4" max="4" width="12.140625" bestFit="1" customWidth="1"/>
    <col min="5" max="5" width="15.28515625" bestFit="1" customWidth="1"/>
    <col min="6" max="6" width="14.7109375" bestFit="1" customWidth="1"/>
  </cols>
  <sheetData>
    <row r="1" spans="1:6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110</v>
      </c>
      <c r="F1" s="1" t="s">
        <v>109</v>
      </c>
    </row>
    <row r="2" spans="1:6">
      <c r="A2" t="s">
        <v>122</v>
      </c>
      <c r="B2">
        <v>1135</v>
      </c>
      <c r="C2">
        <v>430</v>
      </c>
      <c r="D2">
        <v>62</v>
      </c>
      <c r="E2">
        <v>37.885462555066077</v>
      </c>
      <c r="F2">
        <v>5.462555066079295</v>
      </c>
    </row>
    <row r="3" spans="1:6">
      <c r="A3" t="s">
        <v>124</v>
      </c>
      <c r="B3">
        <v>1156</v>
      </c>
      <c r="C3">
        <v>384</v>
      </c>
      <c r="D3">
        <v>75</v>
      </c>
      <c r="E3">
        <v>33.217993079584772</v>
      </c>
      <c r="F3">
        <v>6.4878892733564006</v>
      </c>
    </row>
    <row r="4" spans="1:6">
      <c r="A4" t="s">
        <v>125</v>
      </c>
      <c r="B4">
        <v>1410</v>
      </c>
      <c r="C4">
        <v>521</v>
      </c>
      <c r="D4">
        <v>77</v>
      </c>
      <c r="E4">
        <v>36.950354609929079</v>
      </c>
      <c r="F4">
        <v>5.460992907801419</v>
      </c>
    </row>
    <row r="5" spans="1:6">
      <c r="A5" t="s">
        <v>126</v>
      </c>
      <c r="B5">
        <v>1236</v>
      </c>
      <c r="C5">
        <v>431</v>
      </c>
      <c r="D5">
        <v>58</v>
      </c>
      <c r="E5">
        <v>34.870550161812297</v>
      </c>
      <c r="F5">
        <v>4.6925566343042071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"/>
  <sheetViews>
    <sheetView workbookViewId="0">
      <selection activeCell="F5" sqref="A1:F5"/>
    </sheetView>
  </sheetViews>
  <sheetFormatPr defaultRowHeight="14.45"/>
  <cols>
    <col min="1" max="1" width="10.5703125" bestFit="1" customWidth="1"/>
    <col min="2" max="2" width="9.42578125" bestFit="1" customWidth="1"/>
    <col min="3" max="3" width="12.7109375" bestFit="1" customWidth="1"/>
    <col min="4" max="4" width="12.140625" bestFit="1" customWidth="1"/>
    <col min="5" max="5" width="15.28515625" bestFit="1" customWidth="1"/>
    <col min="6" max="6" width="14.7109375" bestFit="1" customWidth="1"/>
  </cols>
  <sheetData>
    <row r="1" spans="1:6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110</v>
      </c>
      <c r="F1" s="1" t="s">
        <v>109</v>
      </c>
    </row>
    <row r="2" spans="1:6">
      <c r="A2" t="s">
        <v>122</v>
      </c>
      <c r="B2">
        <v>275</v>
      </c>
      <c r="C2">
        <v>97</v>
      </c>
      <c r="D2">
        <v>41</v>
      </c>
      <c r="E2">
        <v>35.272727272727273</v>
      </c>
      <c r="F2">
        <v>14.90909090909091</v>
      </c>
    </row>
    <row r="3" spans="1:6">
      <c r="A3" t="s">
        <v>124</v>
      </c>
      <c r="B3">
        <v>316</v>
      </c>
      <c r="C3">
        <v>113</v>
      </c>
      <c r="D3">
        <v>28</v>
      </c>
      <c r="E3">
        <v>35.75949367088608</v>
      </c>
      <c r="F3">
        <v>8.8607594936708853</v>
      </c>
    </row>
    <row r="4" spans="1:6">
      <c r="A4" t="s">
        <v>125</v>
      </c>
      <c r="B4">
        <v>330</v>
      </c>
      <c r="C4">
        <v>106</v>
      </c>
      <c r="D4">
        <v>20</v>
      </c>
      <c r="E4">
        <v>32.121212121212118</v>
      </c>
      <c r="F4">
        <v>6.0606060606060614</v>
      </c>
    </row>
    <row r="5" spans="1:6">
      <c r="A5" t="s">
        <v>126</v>
      </c>
      <c r="B5">
        <v>362</v>
      </c>
      <c r="C5">
        <v>141</v>
      </c>
      <c r="D5">
        <v>18</v>
      </c>
      <c r="E5">
        <v>38.950276243093917</v>
      </c>
      <c r="F5">
        <v>4.972375690607735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"/>
  <sheetViews>
    <sheetView tabSelected="1" topLeftCell="E1" workbookViewId="0">
      <selection activeCell="F12" sqref="F12"/>
    </sheetView>
  </sheetViews>
  <sheetFormatPr defaultRowHeight="14.45"/>
  <cols>
    <col min="1" max="1" width="10.5703125" bestFit="1" customWidth="1"/>
    <col min="2" max="2" width="13.28515625" bestFit="1" customWidth="1"/>
    <col min="3" max="3" width="16.5703125" bestFit="1" customWidth="1"/>
    <col min="4" max="4" width="16.140625" bestFit="1" customWidth="1"/>
    <col min="5" max="5" width="19.140625" bestFit="1" customWidth="1"/>
    <col min="6" max="6" width="18.5703125" bestFit="1" customWidth="1"/>
    <col min="7" max="7" width="14.140625" bestFit="1" customWidth="1"/>
    <col min="8" max="8" width="17.5703125" bestFit="1" customWidth="1"/>
    <col min="9" max="9" width="17" bestFit="1" customWidth="1"/>
    <col min="10" max="10" width="20" bestFit="1" customWidth="1"/>
    <col min="11" max="11" width="19.42578125" bestFit="1" customWidth="1"/>
    <col min="12" max="12" width="19.5703125" bestFit="1" customWidth="1"/>
    <col min="13" max="13" width="20.140625" bestFit="1" customWidth="1"/>
  </cols>
  <sheetData>
    <row r="1" spans="1:13">
      <c r="A1" s="1" t="s">
        <v>118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125</v>
      </c>
      <c r="B2">
        <v>1410</v>
      </c>
      <c r="C2">
        <v>521</v>
      </c>
      <c r="D2">
        <v>77</v>
      </c>
      <c r="E2">
        <v>36.950354609929079</v>
      </c>
      <c r="F2">
        <v>5.460992907801419</v>
      </c>
      <c r="G2">
        <v>330</v>
      </c>
      <c r="H2">
        <v>106</v>
      </c>
      <c r="I2">
        <v>20</v>
      </c>
      <c r="J2">
        <v>32.121212121212118</v>
      </c>
      <c r="K2">
        <v>6.0606060606060614</v>
      </c>
      <c r="L2">
        <v>0.59961315280464156</v>
      </c>
      <c r="M2">
        <v>-4.8291424887169541</v>
      </c>
    </row>
    <row r="3" spans="1:13">
      <c r="A3" t="s">
        <v>126</v>
      </c>
      <c r="B3">
        <v>1236</v>
      </c>
      <c r="C3">
        <v>431</v>
      </c>
      <c r="D3">
        <v>58</v>
      </c>
      <c r="E3">
        <v>34.870550161812297</v>
      </c>
      <c r="F3">
        <v>4.6925566343042071</v>
      </c>
      <c r="G3">
        <v>362</v>
      </c>
      <c r="H3">
        <v>141</v>
      </c>
      <c r="I3">
        <v>18</v>
      </c>
      <c r="J3">
        <v>38.950276243093917</v>
      </c>
      <c r="K3">
        <v>4.972375690607735</v>
      </c>
      <c r="L3">
        <v>0.27981905630352788</v>
      </c>
      <c r="M3">
        <v>4.0797260812816276</v>
      </c>
    </row>
    <row r="4" spans="1:13">
      <c r="A4" t="s">
        <v>124</v>
      </c>
      <c r="B4">
        <v>1156</v>
      </c>
      <c r="C4">
        <v>384</v>
      </c>
      <c r="D4">
        <v>75</v>
      </c>
      <c r="E4">
        <v>33.217993079584772</v>
      </c>
      <c r="F4">
        <v>6.4878892733564006</v>
      </c>
      <c r="G4">
        <v>316</v>
      </c>
      <c r="H4">
        <v>113</v>
      </c>
      <c r="I4">
        <v>28</v>
      </c>
      <c r="J4">
        <v>35.75949367088608</v>
      </c>
      <c r="K4">
        <v>8.8607594936708853</v>
      </c>
      <c r="L4">
        <v>2.3728702203144851</v>
      </c>
      <c r="M4">
        <v>2.541500591301308</v>
      </c>
    </row>
    <row r="5" spans="1:13">
      <c r="A5" t="s">
        <v>122</v>
      </c>
      <c r="B5">
        <v>1135</v>
      </c>
      <c r="C5">
        <v>430</v>
      </c>
      <c r="D5">
        <v>62</v>
      </c>
      <c r="E5">
        <v>37.885462555066077</v>
      </c>
      <c r="F5">
        <v>5.462555066079295</v>
      </c>
      <c r="G5">
        <v>275</v>
      </c>
      <c r="H5">
        <v>97</v>
      </c>
      <c r="I5">
        <v>41</v>
      </c>
      <c r="J5">
        <v>35.272727272727273</v>
      </c>
      <c r="K5">
        <v>14.90909090909091</v>
      </c>
      <c r="L5">
        <v>9.4465358430116133</v>
      </c>
      <c r="M5">
        <v>-2.6127352823388041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Jamie Douglas</cp:lastModifiedBy>
  <cp:revision/>
  <dcterms:created xsi:type="dcterms:W3CDTF">2026-09-16T16:49:56Z</dcterms:created>
  <dcterms:modified xsi:type="dcterms:W3CDTF">2026-09-17T09:11:44Z</dcterms:modified>
  <cp:category/>
  <cp:contentStatus/>
</cp:coreProperties>
</file>